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/>
  <mc:AlternateContent xmlns:mc="http://schemas.openxmlformats.org/markup-compatibility/2006">
    <mc:Choice Requires="x15">
      <x15ac:absPath xmlns:x15ac="http://schemas.microsoft.com/office/spreadsheetml/2010/11/ac" url="/Users/canseco/Desktop/lovable/calendario-compliance-lovable/"/>
    </mc:Choice>
  </mc:AlternateContent>
  <xr:revisionPtr revIDLastSave="0" documentId="13_ncr:1_{161062B4-927D-9547-B0B0-7B0CBC348B1B}" xr6:coauthVersionLast="47" xr6:coauthVersionMax="47" xr10:uidLastSave="{00000000-0000-0000-0000-000000000000}"/>
  <bookViews>
    <workbookView xWindow="-20" yWindow="620" windowWidth="28800" windowHeight="15880" activeTab="7" xr2:uid="{00000000-000D-0000-FFFF-FFFF00000000}"/>
  </bookViews>
  <sheets>
    <sheet name="Dashboard" sheetId="1" r:id="rId1"/>
    <sheet name="Gantt" sheetId="2" r:id="rId2"/>
    <sheet name="Resumen" sheetId="3" r:id="rId3"/>
    <sheet name="Req_Generales" sheetId="4" r:id="rId4"/>
    <sheet name="Req_Rubro" sheetId="5" r:id="rId5"/>
    <sheet name="Solicitud_61LA" sheetId="9" r:id="rId6"/>
    <sheet name="Obligaciones" sheetId="6" r:id="rId7"/>
    <sheet name="Requerimiento" sheetId="7" r:id="rId8"/>
    <sheet name="Cancelacion" sheetId="8" r:id="rId9"/>
    <sheet name="Datos" sheetId="10" state="hidden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9" i="10" l="1"/>
  <c r="B18" i="10"/>
  <c r="B17" i="10"/>
  <c r="B16" i="10"/>
  <c r="E4" i="10"/>
  <c r="D4" i="10"/>
  <c r="C4" i="10"/>
  <c r="B4" i="10"/>
  <c r="E3" i="10"/>
  <c r="D3" i="10"/>
  <c r="C3" i="10"/>
  <c r="B3" i="10"/>
  <c r="F3" i="10" s="1"/>
  <c r="E2" i="10"/>
  <c r="D2" i="10"/>
  <c r="C2" i="10"/>
  <c r="B2" i="10"/>
  <c r="D20" i="3"/>
  <c r="D19" i="3"/>
  <c r="C19" i="3"/>
  <c r="B19" i="3"/>
  <c r="E19" i="3" s="1"/>
  <c r="D18" i="3"/>
  <c r="C18" i="3"/>
  <c r="B18" i="3"/>
  <c r="E18" i="3" s="1"/>
  <c r="D17" i="3"/>
  <c r="C17" i="3"/>
  <c r="C20" i="3" s="1"/>
  <c r="B17" i="3"/>
  <c r="B20" i="3" s="1"/>
  <c r="E20" i="3" s="1"/>
  <c r="G11" i="3"/>
  <c r="F11" i="3"/>
  <c r="D11" i="3"/>
  <c r="C11" i="3"/>
  <c r="B11" i="3"/>
  <c r="G10" i="3"/>
  <c r="F10" i="3"/>
  <c r="D10" i="3"/>
  <c r="C10" i="3"/>
  <c r="B10" i="3"/>
  <c r="E10" i="3" s="1"/>
  <c r="G9" i="3"/>
  <c r="G12" i="3" s="1"/>
  <c r="F9" i="3"/>
  <c r="F12" i="3" s="1"/>
  <c r="D9" i="3"/>
  <c r="C9" i="3"/>
  <c r="B9" i="3"/>
  <c r="F131" i="2"/>
  <c r="E131" i="2"/>
  <c r="D131" i="2"/>
  <c r="C131" i="2"/>
  <c r="B131" i="2"/>
  <c r="F130" i="2"/>
  <c r="E130" i="2"/>
  <c r="D130" i="2"/>
  <c r="C130" i="2"/>
  <c r="B130" i="2"/>
  <c r="F129" i="2"/>
  <c r="E129" i="2"/>
  <c r="D129" i="2"/>
  <c r="C129" i="2"/>
  <c r="B129" i="2"/>
  <c r="F128" i="2"/>
  <c r="E128" i="2"/>
  <c r="D128" i="2"/>
  <c r="C128" i="2"/>
  <c r="B128" i="2"/>
  <c r="F127" i="2"/>
  <c r="E127" i="2"/>
  <c r="D127" i="2"/>
  <c r="C127" i="2"/>
  <c r="B127" i="2"/>
  <c r="F126" i="2"/>
  <c r="E126" i="2"/>
  <c r="D126" i="2"/>
  <c r="C126" i="2"/>
  <c r="B126" i="2"/>
  <c r="F125" i="2"/>
  <c r="E125" i="2"/>
  <c r="D125" i="2"/>
  <c r="C125" i="2"/>
  <c r="B125" i="2"/>
  <c r="F124" i="2"/>
  <c r="E124" i="2"/>
  <c r="D124" i="2"/>
  <c r="C124" i="2"/>
  <c r="B124" i="2"/>
  <c r="F123" i="2"/>
  <c r="E123" i="2"/>
  <c r="D123" i="2"/>
  <c r="C123" i="2"/>
  <c r="B123" i="2"/>
  <c r="F122" i="2"/>
  <c r="E122" i="2"/>
  <c r="D122" i="2"/>
  <c r="C122" i="2"/>
  <c r="B122" i="2"/>
  <c r="F121" i="2"/>
  <c r="E121" i="2"/>
  <c r="D121" i="2"/>
  <c r="C121" i="2"/>
  <c r="B121" i="2"/>
  <c r="F120" i="2"/>
  <c r="E120" i="2"/>
  <c r="D120" i="2"/>
  <c r="C120" i="2"/>
  <c r="B120" i="2"/>
  <c r="F119" i="2"/>
  <c r="E119" i="2"/>
  <c r="D119" i="2"/>
  <c r="C119" i="2"/>
  <c r="B119" i="2"/>
  <c r="F118" i="2"/>
  <c r="E118" i="2"/>
  <c r="D118" i="2"/>
  <c r="C118" i="2"/>
  <c r="B118" i="2"/>
  <c r="F117" i="2"/>
  <c r="E117" i="2"/>
  <c r="D117" i="2"/>
  <c r="C117" i="2"/>
  <c r="B117" i="2"/>
  <c r="F116" i="2"/>
  <c r="E116" i="2"/>
  <c r="D116" i="2"/>
  <c r="C116" i="2"/>
  <c r="B116" i="2"/>
  <c r="F115" i="2"/>
  <c r="E115" i="2"/>
  <c r="D115" i="2"/>
  <c r="C115" i="2"/>
  <c r="B115" i="2"/>
  <c r="F114" i="2"/>
  <c r="E114" i="2"/>
  <c r="D114" i="2"/>
  <c r="C114" i="2"/>
  <c r="B114" i="2"/>
  <c r="F112" i="2"/>
  <c r="E112" i="2"/>
  <c r="D112" i="2"/>
  <c r="C112" i="2"/>
  <c r="B112" i="2"/>
  <c r="F111" i="2"/>
  <c r="E111" i="2"/>
  <c r="D111" i="2"/>
  <c r="C111" i="2"/>
  <c r="B111" i="2"/>
  <c r="F110" i="2"/>
  <c r="E110" i="2"/>
  <c r="D110" i="2"/>
  <c r="C110" i="2"/>
  <c r="B110" i="2"/>
  <c r="F109" i="2"/>
  <c r="E109" i="2"/>
  <c r="D109" i="2"/>
  <c r="C109" i="2"/>
  <c r="B109" i="2"/>
  <c r="F108" i="2"/>
  <c r="E108" i="2"/>
  <c r="D108" i="2"/>
  <c r="C108" i="2"/>
  <c r="B108" i="2"/>
  <c r="F107" i="2"/>
  <c r="E107" i="2"/>
  <c r="D107" i="2"/>
  <c r="C107" i="2"/>
  <c r="B107" i="2"/>
  <c r="F106" i="2"/>
  <c r="E106" i="2"/>
  <c r="D106" i="2"/>
  <c r="C106" i="2"/>
  <c r="B106" i="2"/>
  <c r="F105" i="2"/>
  <c r="E105" i="2"/>
  <c r="D105" i="2"/>
  <c r="C105" i="2"/>
  <c r="B105" i="2"/>
  <c r="F104" i="2"/>
  <c r="E104" i="2"/>
  <c r="D104" i="2"/>
  <c r="C104" i="2"/>
  <c r="B104" i="2"/>
  <c r="F103" i="2"/>
  <c r="E103" i="2"/>
  <c r="D103" i="2"/>
  <c r="C103" i="2"/>
  <c r="B103" i="2"/>
  <c r="F102" i="2"/>
  <c r="E102" i="2"/>
  <c r="D102" i="2"/>
  <c r="C102" i="2"/>
  <c r="B102" i="2"/>
  <c r="F100" i="2"/>
  <c r="E100" i="2"/>
  <c r="D100" i="2"/>
  <c r="C100" i="2"/>
  <c r="B100" i="2"/>
  <c r="F99" i="2"/>
  <c r="E99" i="2"/>
  <c r="D99" i="2"/>
  <c r="C99" i="2"/>
  <c r="B99" i="2"/>
  <c r="F97" i="2"/>
  <c r="E97" i="2"/>
  <c r="D97" i="2"/>
  <c r="C97" i="2"/>
  <c r="B97" i="2"/>
  <c r="F95" i="2"/>
  <c r="E95" i="2"/>
  <c r="D95" i="2"/>
  <c r="C95" i="2"/>
  <c r="B95" i="2"/>
  <c r="F94" i="2"/>
  <c r="E94" i="2"/>
  <c r="D94" i="2"/>
  <c r="C94" i="2"/>
  <c r="B94" i="2"/>
  <c r="F92" i="2"/>
  <c r="E92" i="2"/>
  <c r="D92" i="2"/>
  <c r="C92" i="2"/>
  <c r="B92" i="2"/>
  <c r="F91" i="2"/>
  <c r="E91" i="2"/>
  <c r="D91" i="2"/>
  <c r="C91" i="2"/>
  <c r="B91" i="2"/>
  <c r="F90" i="2"/>
  <c r="E90" i="2"/>
  <c r="D90" i="2"/>
  <c r="C90" i="2"/>
  <c r="B90" i="2"/>
  <c r="F89" i="2"/>
  <c r="E89" i="2"/>
  <c r="D89" i="2"/>
  <c r="C89" i="2"/>
  <c r="B89" i="2"/>
  <c r="F88" i="2"/>
  <c r="E88" i="2"/>
  <c r="D88" i="2"/>
  <c r="C88" i="2"/>
  <c r="B88" i="2"/>
  <c r="F87" i="2"/>
  <c r="E87" i="2"/>
  <c r="D87" i="2"/>
  <c r="C87" i="2"/>
  <c r="B87" i="2"/>
  <c r="F85" i="2"/>
  <c r="E85" i="2"/>
  <c r="D85" i="2"/>
  <c r="C85" i="2"/>
  <c r="B85" i="2"/>
  <c r="F84" i="2"/>
  <c r="E84" i="2"/>
  <c r="D84" i="2"/>
  <c r="C84" i="2"/>
  <c r="B84" i="2"/>
  <c r="F83" i="2"/>
  <c r="E83" i="2"/>
  <c r="D83" i="2"/>
  <c r="C83" i="2"/>
  <c r="B83" i="2"/>
  <c r="F82" i="2"/>
  <c r="E82" i="2"/>
  <c r="D82" i="2"/>
  <c r="C82" i="2"/>
  <c r="B82" i="2"/>
  <c r="F81" i="2"/>
  <c r="E81" i="2"/>
  <c r="D81" i="2"/>
  <c r="C81" i="2"/>
  <c r="B81" i="2"/>
  <c r="F80" i="2"/>
  <c r="E80" i="2"/>
  <c r="D80" i="2"/>
  <c r="C80" i="2"/>
  <c r="B80" i="2"/>
  <c r="F79" i="2"/>
  <c r="E79" i="2"/>
  <c r="D79" i="2"/>
  <c r="C79" i="2"/>
  <c r="B79" i="2"/>
  <c r="F78" i="2"/>
  <c r="E78" i="2"/>
  <c r="D78" i="2"/>
  <c r="C78" i="2"/>
  <c r="B78" i="2"/>
  <c r="F77" i="2"/>
  <c r="E77" i="2"/>
  <c r="D77" i="2"/>
  <c r="C77" i="2"/>
  <c r="B77" i="2"/>
  <c r="F76" i="2"/>
  <c r="E76" i="2"/>
  <c r="D76" i="2"/>
  <c r="C76" i="2"/>
  <c r="B76" i="2"/>
  <c r="F75" i="2"/>
  <c r="E75" i="2"/>
  <c r="D75" i="2"/>
  <c r="C75" i="2"/>
  <c r="B75" i="2"/>
  <c r="F74" i="2"/>
  <c r="E74" i="2"/>
  <c r="D74" i="2"/>
  <c r="C74" i="2"/>
  <c r="B74" i="2"/>
  <c r="F73" i="2"/>
  <c r="E73" i="2"/>
  <c r="D73" i="2"/>
  <c r="C73" i="2"/>
  <c r="B73" i="2"/>
  <c r="F72" i="2"/>
  <c r="E72" i="2"/>
  <c r="D72" i="2"/>
  <c r="C72" i="2"/>
  <c r="B72" i="2"/>
  <c r="F71" i="2"/>
  <c r="E71" i="2"/>
  <c r="D71" i="2"/>
  <c r="C71" i="2"/>
  <c r="B71" i="2"/>
  <c r="F69" i="2"/>
  <c r="E69" i="2"/>
  <c r="D69" i="2"/>
  <c r="C69" i="2"/>
  <c r="B69" i="2"/>
  <c r="F68" i="2"/>
  <c r="E68" i="2"/>
  <c r="D68" i="2"/>
  <c r="C68" i="2"/>
  <c r="B68" i="2"/>
  <c r="F67" i="2"/>
  <c r="E67" i="2"/>
  <c r="D67" i="2"/>
  <c r="C67" i="2"/>
  <c r="B67" i="2"/>
  <c r="F66" i="2"/>
  <c r="E66" i="2"/>
  <c r="D66" i="2"/>
  <c r="C66" i="2"/>
  <c r="B66" i="2"/>
  <c r="F65" i="2"/>
  <c r="E65" i="2"/>
  <c r="D65" i="2"/>
  <c r="C65" i="2"/>
  <c r="B65" i="2"/>
  <c r="F64" i="2"/>
  <c r="E64" i="2"/>
  <c r="D64" i="2"/>
  <c r="C64" i="2"/>
  <c r="B64" i="2"/>
  <c r="F63" i="2"/>
  <c r="E63" i="2"/>
  <c r="D63" i="2"/>
  <c r="C63" i="2"/>
  <c r="B63" i="2"/>
  <c r="F62" i="2"/>
  <c r="E62" i="2"/>
  <c r="D62" i="2"/>
  <c r="C62" i="2"/>
  <c r="B62" i="2"/>
  <c r="F57" i="2"/>
  <c r="E57" i="2"/>
  <c r="D57" i="2"/>
  <c r="C57" i="2"/>
  <c r="B57" i="2"/>
  <c r="F56" i="2"/>
  <c r="E56" i="2"/>
  <c r="D56" i="2"/>
  <c r="C56" i="2"/>
  <c r="B56" i="2"/>
  <c r="F55" i="2"/>
  <c r="E55" i="2"/>
  <c r="D55" i="2"/>
  <c r="C55" i="2"/>
  <c r="B55" i="2"/>
  <c r="F53" i="2"/>
  <c r="E53" i="2"/>
  <c r="D53" i="2"/>
  <c r="C53" i="2"/>
  <c r="B53" i="2"/>
  <c r="F52" i="2"/>
  <c r="E52" i="2"/>
  <c r="D52" i="2"/>
  <c r="C52" i="2"/>
  <c r="B52" i="2"/>
  <c r="F51" i="2"/>
  <c r="E51" i="2"/>
  <c r="D51" i="2"/>
  <c r="C51" i="2"/>
  <c r="B51" i="2"/>
  <c r="F49" i="2"/>
  <c r="E49" i="2"/>
  <c r="D49" i="2"/>
  <c r="C49" i="2"/>
  <c r="B49" i="2"/>
  <c r="F48" i="2"/>
  <c r="E48" i="2"/>
  <c r="D48" i="2"/>
  <c r="C48" i="2"/>
  <c r="B48" i="2"/>
  <c r="F47" i="2"/>
  <c r="E47" i="2"/>
  <c r="D47" i="2"/>
  <c r="C47" i="2"/>
  <c r="B47" i="2"/>
  <c r="F46" i="2"/>
  <c r="E46" i="2"/>
  <c r="D46" i="2"/>
  <c r="C46" i="2"/>
  <c r="B46" i="2"/>
  <c r="F45" i="2"/>
  <c r="E45" i="2"/>
  <c r="D45" i="2"/>
  <c r="C45" i="2"/>
  <c r="B45" i="2"/>
  <c r="F44" i="2"/>
  <c r="E44" i="2"/>
  <c r="D44" i="2"/>
  <c r="C44" i="2"/>
  <c r="B44" i="2"/>
  <c r="F43" i="2"/>
  <c r="E43" i="2"/>
  <c r="D43" i="2"/>
  <c r="C43" i="2"/>
  <c r="B43" i="2"/>
  <c r="F42" i="2"/>
  <c r="E42" i="2"/>
  <c r="D42" i="2"/>
  <c r="C42" i="2"/>
  <c r="B42" i="2"/>
  <c r="F41" i="2"/>
  <c r="E41" i="2"/>
  <c r="D41" i="2"/>
  <c r="C41" i="2"/>
  <c r="B41" i="2"/>
  <c r="F40" i="2"/>
  <c r="E40" i="2"/>
  <c r="D40" i="2"/>
  <c r="C40" i="2"/>
  <c r="B40" i="2"/>
  <c r="F35" i="2"/>
  <c r="E35" i="2"/>
  <c r="D35" i="2"/>
  <c r="C35" i="2"/>
  <c r="B35" i="2"/>
  <c r="F34" i="2"/>
  <c r="E34" i="2"/>
  <c r="D34" i="2"/>
  <c r="C34" i="2"/>
  <c r="B34" i="2"/>
  <c r="F32" i="2"/>
  <c r="E32" i="2"/>
  <c r="D32" i="2"/>
  <c r="C32" i="2"/>
  <c r="B32" i="2"/>
  <c r="F31" i="2"/>
  <c r="E31" i="2"/>
  <c r="D31" i="2"/>
  <c r="C31" i="2"/>
  <c r="B31" i="2"/>
  <c r="F30" i="2"/>
  <c r="E30" i="2"/>
  <c r="D30" i="2"/>
  <c r="C30" i="2"/>
  <c r="B30" i="2"/>
  <c r="F29" i="2"/>
  <c r="E29" i="2"/>
  <c r="D29" i="2"/>
  <c r="C29" i="2"/>
  <c r="B29" i="2"/>
  <c r="F28" i="2"/>
  <c r="E28" i="2"/>
  <c r="D28" i="2"/>
  <c r="C28" i="2"/>
  <c r="B28" i="2"/>
  <c r="F27" i="2"/>
  <c r="E27" i="2"/>
  <c r="D27" i="2"/>
  <c r="C27" i="2"/>
  <c r="B27" i="2"/>
  <c r="F25" i="2"/>
  <c r="E25" i="2"/>
  <c r="D25" i="2"/>
  <c r="C25" i="2"/>
  <c r="B25" i="2"/>
  <c r="F24" i="2"/>
  <c r="E24" i="2"/>
  <c r="D24" i="2"/>
  <c r="C24" i="2"/>
  <c r="B24" i="2"/>
  <c r="F23" i="2"/>
  <c r="E23" i="2"/>
  <c r="D23" i="2"/>
  <c r="C23" i="2"/>
  <c r="B23" i="2"/>
  <c r="F22" i="2"/>
  <c r="E22" i="2"/>
  <c r="D22" i="2"/>
  <c r="C22" i="2"/>
  <c r="B22" i="2"/>
  <c r="F20" i="2"/>
  <c r="E20" i="2"/>
  <c r="D20" i="2"/>
  <c r="C20" i="2"/>
  <c r="B20" i="2"/>
  <c r="F19" i="2"/>
  <c r="E19" i="2"/>
  <c r="D19" i="2"/>
  <c r="C19" i="2"/>
  <c r="B19" i="2"/>
  <c r="F18" i="2"/>
  <c r="E18" i="2"/>
  <c r="D18" i="2"/>
  <c r="C18" i="2"/>
  <c r="B18" i="2"/>
  <c r="F17" i="2"/>
  <c r="E17" i="2"/>
  <c r="D17" i="2"/>
  <c r="C17" i="2"/>
  <c r="B17" i="2"/>
  <c r="F16" i="2"/>
  <c r="E16" i="2"/>
  <c r="D16" i="2"/>
  <c r="C16" i="2"/>
  <c r="B16" i="2"/>
  <c r="F15" i="2"/>
  <c r="E15" i="2"/>
  <c r="D15" i="2"/>
  <c r="C15" i="2"/>
  <c r="B15" i="2"/>
  <c r="F14" i="2"/>
  <c r="E14" i="2"/>
  <c r="D14" i="2"/>
  <c r="C14" i="2"/>
  <c r="B14" i="2"/>
  <c r="F13" i="2"/>
  <c r="E13" i="2"/>
  <c r="D13" i="2"/>
  <c r="C13" i="2"/>
  <c r="B13" i="2"/>
  <c r="F12" i="2"/>
  <c r="E12" i="2"/>
  <c r="D12" i="2"/>
  <c r="C12" i="2"/>
  <c r="B12" i="2"/>
  <c r="F11" i="2"/>
  <c r="A133" i="2" s="1"/>
  <c r="E11" i="2"/>
  <c r="D11" i="2"/>
  <c r="C11" i="2"/>
  <c r="B11" i="2"/>
  <c r="Z6" i="2"/>
  <c r="Y6" i="2"/>
  <c r="X6" i="2"/>
  <c r="W6" i="2"/>
  <c r="V6" i="2"/>
  <c r="U6" i="2"/>
  <c r="T6" i="2"/>
  <c r="S6" i="2"/>
  <c r="R6" i="2"/>
  <c r="Q6" i="2"/>
  <c r="P6" i="2"/>
  <c r="O6" i="2"/>
  <c r="N6" i="2"/>
  <c r="M6" i="2"/>
  <c r="L6" i="2"/>
  <c r="K6" i="2"/>
  <c r="J6" i="2"/>
  <c r="I6" i="2"/>
  <c r="H6" i="2"/>
  <c r="G6" i="2"/>
  <c r="K26" i="1"/>
  <c r="K25" i="1"/>
  <c r="K24" i="1"/>
  <c r="K23" i="1"/>
  <c r="G19" i="1"/>
  <c r="B19" i="1"/>
  <c r="G13" i="1"/>
  <c r="B13" i="1"/>
  <c r="G7" i="1"/>
  <c r="B7" i="1"/>
  <c r="C12" i="3" l="1"/>
  <c r="C6" i="10"/>
  <c r="B11" i="10" s="1"/>
  <c r="E11" i="3"/>
  <c r="D12" i="3"/>
  <c r="B6" i="10"/>
  <c r="B10" i="10" s="1"/>
  <c r="F4" i="10"/>
  <c r="D6" i="10"/>
  <c r="B12" i="10" s="1"/>
  <c r="E6" i="10"/>
  <c r="E9" i="3"/>
  <c r="E17" i="3"/>
  <c r="B12" i="3"/>
  <c r="E12" i="3" s="1"/>
  <c r="A5" i="3" s="1"/>
  <c r="F2" i="10"/>
  <c r="F6" i="10" l="1"/>
</calcChain>
</file>

<file path=xl/sharedStrings.xml><?xml version="1.0" encoding="utf-8"?>
<sst xmlns="http://schemas.openxmlformats.org/spreadsheetml/2006/main" count="738" uniqueCount="461">
  <si>
    <t xml:space="preserve">      Dashboard — Certificación IVA e IEPS</t>
  </si>
  <si>
    <t>Russell Bedford México  ·  RGCE 2026  ·  Actualización automática</t>
  </si>
  <si>
    <t>📋  Total de ítems</t>
  </si>
  <si>
    <t>✅  Cumplidos</t>
  </si>
  <si>
    <t>Filtrar responsable:</t>
  </si>
  <si>
    <t>Todos</t>
  </si>
  <si>
    <t>(Selecciona un responsable para ver el conteo filtrado)</t>
  </si>
  <si>
    <t>⚠️  En riesgo</t>
  </si>
  <si>
    <t>⏳  Pendientes</t>
  </si>
  <si>
    <t>📎  Documentos adjuntos</t>
  </si>
  <si>
    <t>📊  % de avance</t>
  </si>
  <si>
    <t>Por responsable:</t>
  </si>
  <si>
    <t xml:space="preserve">  Cliente</t>
  </si>
  <si>
    <t xml:space="preserve">  Asesor Russell Bedford</t>
  </si>
  <si>
    <t xml:space="preserve">  AGACE</t>
  </si>
  <si>
    <t xml:space="preserve">  Otro</t>
  </si>
  <si>
    <t xml:space="preserve">      Gantt — Certificación IVA e IEPS  ·  Russell Bedford México</t>
  </si>
  <si>
    <t>✅ Las barras se colorean automáticamente cuando marcas 'Cumplido' en las hojas  ·  Solo define la fecha de inicio y fin de cada GRUPO (fila naranja)</t>
  </si>
  <si>
    <t xml:space="preserve">  📅  Fecha de inicio del proyecto:</t>
  </si>
  <si>
    <t xml:space="preserve">  ℹ️  Solo necesitas definir 'Inicio del grupo' y 'Fin del grupo' en las filas naranjas. Los ítems heredan esas fechas automáticamente.</t>
  </si>
  <si>
    <t>#</t>
  </si>
  <si>
    <t>Requisito / Ítem</t>
  </si>
  <si>
    <t>Responsable</t>
  </si>
  <si>
    <t>Inicio grupo</t>
  </si>
  <si>
    <t>Fin grupo</t>
  </si>
  <si>
    <t>Estatus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</si>
  <si>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</si>
  <si>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</si>
  <si>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</si>
  <si>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</si>
  <si>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</si>
  <si>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</si>
  <si>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</si>
  <si>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</si>
  <si>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</si>
  <si>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</si>
  <si>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</si>
  <si>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</si>
  <si>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</si>
  <si>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</si>
  <si>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</si>
  <si>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</si>
  <si>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</si>
  <si>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</si>
  <si>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</si>
  <si>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</si>
  <si>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 xml:space="preserve">  ◆  1. Requisitos generales</t>
  </si>
  <si>
    <t xml:space="preserve">  1. REQUISITOS GENERALES — Regla 7.1.1</t>
  </si>
  <si>
    <t>← Solo edita estas fechas</t>
  </si>
  <si>
    <t>GRUPO</t>
  </si>
  <si>
    <t xml:space="preserve">  RGCE 2026 (DOF 27/12/2025)  ·  Decreto IMMEX  ·  Russell Bedford México</t>
  </si>
  <si>
    <t xml:space="preserve">  1.1 Requisitos fiscales y legales</t>
  </si>
  <si>
    <t xml:space="preserve">  1.2 Domicilios e infraestructura</t>
  </si>
  <si>
    <t xml:space="preserve">  1.3 Clientes, proveedores y contabilidad</t>
  </si>
  <si>
    <t xml:space="preserve">  1.4 Personal e IMSS</t>
  </si>
  <si>
    <t xml:space="preserve">  ◆  2. Requisitos por rubro</t>
  </si>
  <si>
    <t xml:space="preserve">  2. REQUISITOS POR RUBRO — Reglas 7.1.2 y 7.1.3</t>
  </si>
  <si>
    <t xml:space="preserve">  Rubro A — Regla 7.1.2  (además de todos los requisitos de la regla 7.1.1)</t>
  </si>
  <si>
    <t xml:space="preserve">  Rubro AA — Regla 7.1.3  (además de todos los requisitos del Rubro A)</t>
  </si>
  <si>
    <t xml:space="preserve">  Rubro AAA — Regla 7.1.3  (además de todos los requisitos del Rubro AA)</t>
  </si>
  <si>
    <t xml:space="preserve">  ◆  6. Solicitud 61/LA</t>
  </si>
  <si>
    <t xml:space="preserve">  6. SOLICITUD DE REGISTRO / RENOVACIÓN — Ficha 61/LA</t>
  </si>
  <si>
    <t xml:space="preserve">  Información general del trámite</t>
  </si>
  <si>
    <t xml:space="preserve">  A.I Documentos generales — todas las modalidades</t>
  </si>
  <si>
    <t xml:space="preserve">  A.II Documentos adicionales — Rubro A (IVA e IEPS)</t>
  </si>
  <si>
    <t xml:space="preserve">  A.II Documentos adicionales — Rubro AA (IVA e IEPS)</t>
  </si>
  <si>
    <t xml:space="preserve">  A.II Documentos adicionales — Rubro AAA (IVA e IEPS)</t>
  </si>
  <si>
    <t xml:space="preserve">  A.III Documentos — Modalidad Comercializadora e Importadora</t>
  </si>
  <si>
    <t xml:space="preserve">  A.IV y A.V Modalidades OEA y Socio Comercial Certificado</t>
  </si>
  <si>
    <t xml:space="preserve">  Condiciones generales (todas las modalidades)</t>
  </si>
  <si>
    <t xml:space="preserve">  LEYENDA</t>
  </si>
  <si>
    <t xml:space="preserve">  Pendiente</t>
  </si>
  <si>
    <t>Barra en amarillo — ítem en proceso</t>
  </si>
  <si>
    <t xml:space="preserve">  Cumplido</t>
  </si>
  <si>
    <t>Barra en verde — ítem completado ✅</t>
  </si>
  <si>
    <t xml:space="preserve">  En riesgo</t>
  </si>
  <si>
    <t>Barra en rojo — requiere atención</t>
  </si>
  <si>
    <t xml:space="preserve">  Vencido sin cumplir</t>
  </si>
  <si>
    <t>Fila completa en rojo — fecha límite superada</t>
  </si>
  <si>
    <t xml:space="preserve">  Semana actual</t>
  </si>
  <si>
    <t>Columna naranja = semana en curso</t>
  </si>
  <si>
    <t xml:space="preserve">  Grupo (naranja)</t>
  </si>
  <si>
    <t>Solo edita inicio/fin en filas naranjas</t>
  </si>
  <si>
    <t xml:space="preserve">      Russell Bedford México</t>
  </si>
  <si>
    <t>Checklist — Certificación IVA e IEPS  ·  RGCE 2026 (DOF 27/12/2025)</t>
  </si>
  <si>
    <t>AVANCE GLOBAL DEL PROYECTO</t>
  </si>
  <si>
    <t xml:space="preserve">  SECCIÓN PARA EL CLIENTE — Obtención del Registro</t>
  </si>
  <si>
    <t>Sección</t>
  </si>
  <si>
    <t>Total</t>
  </si>
  <si>
    <t>✓ Cumplidos</t>
  </si>
  <si>
    <t>⚠ En riesgo</t>
  </si>
  <si>
    <t>% Avance</t>
  </si>
  <si>
    <t>✓ Adjuntos</t>
  </si>
  <si>
    <t>📅 Con fecha</t>
  </si>
  <si>
    <t>1. Requisitos generales (Regla 7.1.1)</t>
  </si>
  <si>
    <t>2. Requisitos por rubro (Reglas 7.1.2 y 7.1.3)</t>
  </si>
  <si>
    <t>6. Solicitud de registro / Renovación (Ficha 61/LA)</t>
  </si>
  <si>
    <t>SUBTOTAL — Sección cliente</t>
  </si>
  <si>
    <t xml:space="preserve">  SECCIÓN INTERNA — Referencia Russell Bedford (no aplica para solicitud inicial)</t>
  </si>
  <si>
    <t xml:space="preserve">  ℹ️  Estas secciones corresponden a obligaciones permanentes y causales de requerimiento/cancelación. Se usan como referencia de cumplimiento continuo, no para la solicitud inicial de certificación.</t>
  </si>
  <si>
    <t>3. Obligaciones permanentes (Regla 7.2.1 + Decreto IMMEX)</t>
  </si>
  <si>
    <t>N/A</t>
  </si>
  <si>
    <t>4. Causas de requerimiento (Regla 7.2.2)</t>
  </si>
  <si>
    <t>5. Causas de cancelación y suspensión (Regla 7.2.4)</t>
  </si>
  <si>
    <t>SUBTOTAL — Sección interna</t>
  </si>
  <si>
    <t>—</t>
  </si>
  <si>
    <t>LEYENDA</t>
  </si>
  <si>
    <t xml:space="preserve">  Columna Estatus (col B)</t>
  </si>
  <si>
    <t xml:space="preserve">  Columna Documento / Responsable / Fecha (cols E, F, G)</t>
  </si>
  <si>
    <t>Pendiente</t>
  </si>
  <si>
    <t>Ítem no revisado aún</t>
  </si>
  <si>
    <t>Sin documento</t>
  </si>
  <si>
    <t>Falta documento de soporte</t>
  </si>
  <si>
    <t>Cumplido</t>
  </si>
  <si>
    <t>Requisito acreditado</t>
  </si>
  <si>
    <t>Adjunto</t>
  </si>
  <si>
    <t>Documento localizado y adjunto</t>
  </si>
  <si>
    <t>En riesgo</t>
  </si>
  <si>
    <t>Requiere atención inmediata</t>
  </si>
  <si>
    <t>No aplica</t>
  </si>
  <si>
    <t>No se requiere documento</t>
  </si>
  <si>
    <t>No aplica para este caso</t>
  </si>
  <si>
    <t>Cliente / Asesor RB / AGACE / Otro</t>
  </si>
  <si>
    <t>Elaborado con base en RGCE DOF 27/12/2025 y Decreto IMMEX vigente  ·  Russell Bedford México  ·  www.russellbedford.com.mx</t>
  </si>
  <si>
    <t>1. REQUISITOS GENERALES — Regla 7.1.1</t>
  </si>
  <si>
    <t>RGCE 2026 (DOF 27/12/2025)  ·  Decreto IMMEX  ·  Russell Bedford México</t>
  </si>
  <si>
    <t>Requisito / Obligación / Causal</t>
  </si>
  <si>
    <t>Referencia normativa</t>
  </si>
  <si>
    <t>Documento / Evidencia de cumplimiento</t>
  </si>
  <si>
    <t>Fecha de cumplimiento</t>
  </si>
  <si>
    <t>Personas morales constituidas conforme a la legislación mexicana</t>
  </si>
  <si>
    <t>7.1.1 fracc. I</t>
  </si>
  <si>
    <t>Estar al corriente en obligaciones fiscales y aduaneras; autorizar al SAT para hacer pública la opinión positiva (Regla 2.1.24 RMF)</t>
  </si>
  <si>
    <t>7.1.1 fracc. II · CFF art. 32-D</t>
  </si>
  <si>
    <t>Contar con certificados de sellos digitales vigentes y no ubicarse en supuestos del art. 17-H Bis CFF en los últimos 12 meses</t>
  </si>
  <si>
    <t>7.1.1 fracc. V · CFF art. 17-H Bis</t>
  </si>
  <si>
    <t>No estar en listados SAT: art. 69 CFF (exc. fracc. VI), art. 69-B cuarto párrafo, art. 69-B Bis noveno párrafo</t>
  </si>
  <si>
    <t>7.1.1 fracc. IV · CFF arts. 69, 69-B, 69-B Bis</t>
  </si>
  <si>
    <t>No haberse emitido resolución de emisión de falsos comprobantes fiscales (art. 49 Bis CFF)</t>
  </si>
  <si>
    <t>7.1.1 fracc. XXI · CFF art. 49 Bis</t>
  </si>
  <si>
    <t>Socios, accionistas, representante legal e integrantes de administración al corriente en obligaciones fiscales</t>
  </si>
  <si>
    <t>7.1.1 fracc. XVI</t>
  </si>
  <si>
    <t>Socios/accionistas y administración no vinculados con empresa a quien se le canceló el registro (regla 7.2.4)</t>
  </si>
  <si>
    <t>7.1.1 fracc. XVII · Regla 7.2.4</t>
  </si>
  <si>
    <t>Ningún socio condenado por delitos que ameriten pena corporal</t>
  </si>
  <si>
    <t>7.1.1 fracc. XVIII</t>
  </si>
  <si>
    <t>Sin sanciones administrativas por importación o exportación de mercancías</t>
  </si>
  <si>
    <t>7.1.1 fracc. XIX</t>
  </si>
  <si>
    <t>El SAT no haya interpuesto querella, denuncia penal o declaratoria de perjuicio contra socios/administración en los últimos 3 años</t>
  </si>
  <si>
    <t>7.1.1 fracc. XIII</t>
  </si>
  <si>
    <t>Tener registrados ante el SAT todos los domicilios vinculados al Programa IMMEX o actividades de comercio exterior</t>
  </si>
  <si>
    <t>7.1.1 fracc. VI · CFF art. 27</t>
  </si>
  <si>
    <t>Legal uso o goce del inmueble donde se realizan los procesos con vigencia forzosa mínima de 1 año y al menos 8 meses restantes a la solicitud</t>
  </si>
  <si>
    <t>7.1.1 fracc. XII</t>
  </si>
  <si>
    <t>Permitir en todo momento el acceso de la AGACE para visitas de inspección inicial y supervisión de cumplimiento</t>
  </si>
  <si>
    <t>7.1.1 fracc. IX</t>
  </si>
  <si>
    <t>No estar suspendido en el Padrón de Importadores, Padrón de Importadores de Sectores Específicos o Padrón de Exportadores Sectorial</t>
  </si>
  <si>
    <t>7.1.1 fracc. VIII</t>
  </si>
  <si>
    <t>Clientes y proveedores en el extranjero con operaciones de comercio exterior en los últimos 12 meses</t>
  </si>
  <si>
    <t>7.1.1 fracc. X</t>
  </si>
  <si>
    <t>En su caso, proveedores de insumos en territorio nacional vinculados al proceso en los últimos 6 meses</t>
  </si>
  <si>
    <t>7.1.1 fracc. XI</t>
  </si>
  <si>
    <t>Llevar control de inventarios conforme al art. 59 fracc. I Ley Aduanera y Anexo 24 Apartado C</t>
  </si>
  <si>
    <t>7.1.1 fracc. XIV · LA art. 59</t>
  </si>
  <si>
    <t>Llevar contabilidad en medios electrónicos e ingresarla mensualmente al Portal SAT (CFF arts. 28 fracc. III y IV; RMF 2.8.1.5. y 2.8.1.6.)</t>
  </si>
  <si>
    <t>7.1.1 fracc. XV</t>
  </si>
  <si>
    <t>Contar con buzón tributario actualizado — estatus 'Validado' (CFF art. 17-K)</t>
  </si>
  <si>
    <t>7.1.1 fracc. VII · CFF art. 17-K</t>
  </si>
  <si>
    <t>Haber realizado el pago de derechos art. 40 inciso m) LFD (Anexo 4 RMF 2026)</t>
  </si>
  <si>
    <t>7.1.1 fracc. XX · LFD art. 40</t>
  </si>
  <si>
    <t>Personal registrado ante el IMSS para el proceso productivo/servicio; al corriente en cuotas obrero-patronales; retener y enterar ISR de trabajadores</t>
  </si>
  <si>
    <t>7.1.1 fracc. III · ISR art. 27</t>
  </si>
  <si>
    <t>En caso de subcontratación de servicios especializados, cumplir con art. 27 fracc. V tercer párrafo de la Ley del ISR</t>
  </si>
  <si>
    <t>7.1.1 fracc. III · ISR art. 27 fracc. V</t>
  </si>
  <si>
    <t>2. REQUISITOS POR RUBRO — Reglas 7.1.2 y 7.1.3</t>
  </si>
  <si>
    <t>Presentar solicitud mediante ficha de trámite 61/LA (Anexo 2)</t>
  </si>
  <si>
    <t>7.1.2 fracc. I</t>
  </si>
  <si>
    <t>Mínimo 10 trabajadores registrados ante el IMSS y pago total de cuotas obrero-patronales</t>
  </si>
  <si>
    <t>7.1.2 fracc. II</t>
  </si>
  <si>
    <t>Acreditar inversión en territorio nacional</t>
  </si>
  <si>
    <t>7.1.2 fracc. III</t>
  </si>
  <si>
    <t>Si anteriormente tuvo el registro o garantizó el interés fiscal, estar al corriente con obligaciones del Anexo 30 (SCCCyG)</t>
  </si>
  <si>
    <t>7.1.2 fracc. IV · Anexo 30</t>
  </si>
  <si>
    <t>Proveedores no incluidos en listados SAT arts. 49 Bis fracc. X o 69-B cuarto párrafo CFF</t>
  </si>
  <si>
    <t>7.1.2 fracc. V</t>
  </si>
  <si>
    <t>Contar con Programa IMMEX vigente</t>
  </si>
  <si>
    <t>7.1.2 Apt. A, fracc. I</t>
  </si>
  <si>
    <t>Infraestructura suficiente para realizar la operación del Programa IMMEX conforme a su modalidad</t>
  </si>
  <si>
    <t>7.1.2 Apt. A, fracc. II</t>
  </si>
  <si>
    <t>Haber importado temporalmente y retornado en los últimos 12 meses: ≥60% del valor total de importaciones temporales de insumos (elaboración/transformación/reparación) o ≥60% para otros objetos</t>
  </si>
  <si>
    <t>7.1.2 Apt. A, fracc. III</t>
  </si>
  <si>
    <t>Describir actividades del proceso productivo desde el arribo, almacenamiento, proceso y retorno de mercancías</t>
  </si>
  <si>
    <t>7.1.2 Apt. A, fracc. IV</t>
  </si>
  <si>
    <t>Contrato de maquila, compraventa, orden de compra, servicios o pedidos en firme que acrediten continuidad del proyecto de exportación</t>
  </si>
  <si>
    <t>7.1.2 Apt. A, fracc. V</t>
  </si>
  <si>
    <t>≥4 años operando bajo el régimen solicitado, O promedio &gt;1,000 trabajadores en los últimos 12 meses, O maquinaria y equipo con valor &gt;$50,000,000 pesos</t>
  </si>
  <si>
    <t>7.1.3 fracc. I inciso a)</t>
  </si>
  <si>
    <t>Sin crédito fiscal notificado por el SAT en los últimos 12 meses (o garantizado conforme art. 141 CFF / pago a plazos sin exceder 12 meses)</t>
  </si>
  <si>
    <t>7.1.3 fracc. I inciso b)</t>
  </si>
  <si>
    <t>Sin resolución de improcedencia de devolución IVA &gt;20% del total autorizado y/o monto negado &gt;$5,000,000 pesos en los últimos 6 meses</t>
  </si>
  <si>
    <t>7.1.3 fracc. I inciso c)</t>
  </si>
  <si>
    <t>≥7 años operando bajo el régimen solicitado, O promedio &gt;2,500 trabajadores en los últimos 12 meses, O maquinaria y equipo con valor &gt;$100,000,000 pesos</t>
  </si>
  <si>
    <t>7.1.3 fracc. II inciso a)</t>
  </si>
  <si>
    <t>Sin crédito fiscal notificado por el SAT en los últimos 24 meses (o garantizado conforme art. 141 CFF)</t>
  </si>
  <si>
    <t>7.1.3 fracc. II inciso b)</t>
  </si>
  <si>
    <t>7.1.3 fracc. II inciso c)</t>
  </si>
  <si>
    <t>3. OBLIGACIONES PERMANENTES — Regla 7.2.1 y Decreto IMMEX</t>
  </si>
  <si>
    <t xml:space="preserve">  3.1 Obligaciones generales (todos los registros)</t>
  </si>
  <si>
    <t>Cumplir permanentemente con los requisitos del rubro otorgado</t>
  </si>
  <si>
    <t>7.2.1 fracc. I</t>
  </si>
  <si>
    <t>Estar permanentemente al corriente en obligaciones fiscales y aduaneras</t>
  </si>
  <si>
    <t>7.2.1 fracc. II</t>
  </si>
  <si>
    <t>Dar aviso de cambio en el documento de legal uso y goce del inmueble (vigencia, partes, domicilio) mediante ficha 62/LA</t>
  </si>
  <si>
    <t>7.2.1 fracc. VIII</t>
  </si>
  <si>
    <t>Presentar aviso previo al menos 1 mes antes de introducir mercancías adicionales a las declaradas, mediante ficha 62/LA</t>
  </si>
  <si>
    <t>7.2.1 fracc. X</t>
  </si>
  <si>
    <t>Permitir en todo momento el acceso de la autoridad aduanera para inspecciones de supervisión de cumplimiento</t>
  </si>
  <si>
    <t>7.2.1 fracc. VII</t>
  </si>
  <si>
    <t>En caso de fusión/escisión: dar aviso ante la AGACE dentro de los 10 días posteriores a la inscripción en el Registro Público de Comercio — ficha 62/LA</t>
  </si>
  <si>
    <t>7.2.1 fracc. V</t>
  </si>
  <si>
    <t xml:space="preserve">  3.2 Obligaciones específicas modalidad IVA e IEPS (rubros A, AA y AAA)</t>
  </si>
  <si>
    <t>Reportar mensualmente a la AGACE (mes siguiente) modificaciones de socios, accionistas, representante legal, clientes y proveedores extranjeros, y proveedores nacionales</t>
  </si>
  <si>
    <t>7.2.1 segundo párrafo fracc. I</t>
  </si>
  <si>
    <t>Acreditar continuidad del legal uso y goce del inmueble para los procesos productivos</t>
  </si>
  <si>
    <t>7.2.1 segundo párrafo fracc. II</t>
  </si>
  <si>
    <t>Estar permanentemente al corriente en el pago de cuotas obrero-patronales ante el IMSS</t>
  </si>
  <si>
    <t>7.2.1 segundo párrafo fracc. III</t>
  </si>
  <si>
    <t>Transmitir electrónicamente (Anexo 30 / Portal SAT) informes de descargo: retornos, cambios de régimen, transferencias virtuales, extracciones, regularizaciones, donaciones y destrucciones en el SCCCyG</t>
  </si>
  <si>
    <t>7.2.1 segundo párrafo fracc. IV · Anexo 30</t>
  </si>
  <si>
    <t>Transmitir inventario de mercancías y/o activo fijo pendiente de retorno en un plazo máximo de 30 días naturales posteriores a la fecha de certificación</t>
  </si>
  <si>
    <t>7.2.1 segundo párrafo fracc. IV</t>
  </si>
  <si>
    <t xml:space="preserve">  3.3 Obligaciones adicionales — Decreto IMMEX (arts. 24 y 25)</t>
  </si>
  <si>
    <t>Realizar anualmente exportaciones por más de USD $500,000 o que representen ≥10% de la facturación total</t>
  </si>
  <si>
    <t>IMMEX art. 24 fracc. I</t>
  </si>
  <si>
    <t>Destinar las mercancías importadas temporalmente únicamente a los fines autorizados en el Programa</t>
  </si>
  <si>
    <t>IMMEX art. 24 fracc. IV</t>
  </si>
  <si>
    <t>Retornar las mercancías en los plazos establecidos en la Ley o el Decreto IMMEX</t>
  </si>
  <si>
    <t>IMMEX art. 24 fracc. V</t>
  </si>
  <si>
    <t>Mantener las mercancías importadas temporalmente en los domicilios registrados en el Programa</t>
  </si>
  <si>
    <t>IMMEX art. 24 fracc. VI</t>
  </si>
  <si>
    <t>Notificar a la SE los cambios de socios, accionistas o representante legal</t>
  </si>
  <si>
    <t>IMMEX art. 24 fracc. VIII</t>
  </si>
  <si>
    <t>Llevar control de inventarios automatizado conforme a las RGCE</t>
  </si>
  <si>
    <t>IMMEX art. 24 fracc. IX</t>
  </si>
  <si>
    <t>Presentar reporte anual electrónico a la SE de ventas totales y exportaciones del ejercicio anterior, a más tardar el último día hábil de mayo</t>
  </si>
  <si>
    <t>IMMEX art. 25</t>
  </si>
  <si>
    <t>4. CAUSAS DE REQUERIMIENTO — Regla 7.2.2</t>
  </si>
  <si>
    <t xml:space="preserve">  ℹ️  Nota: La AGACE otorga 20 días hábiles para subsanar o desvirtuar. Si no se subsana, se inicia el procedimiento de cancelación. La AGACE tiene 6 meses para emitir resolución.</t>
  </si>
  <si>
    <t xml:space="preserve">  4.1 Causas generales (todos los registros)</t>
  </si>
  <si>
    <t>La empresa no está al corriente en el cumplimiento de obligaciones fiscales</t>
  </si>
  <si>
    <t>7.2.2 fracc. I inciso a)</t>
  </si>
  <si>
    <t>Incumplimiento de la obligación de retener y enterar el ISR de trabajadores</t>
  </si>
  <si>
    <t>7.2.2 fracc. I inciso b)</t>
  </si>
  <si>
    <t>Ubicarse en los listados del SAT: art. 69 CFF (exc. fracc. VI), art. 69-B cuarto párrafo, o art. 69-B Bis noveno párrafo</t>
  </si>
  <si>
    <t>7.2.2 fracc. I inciso c)</t>
  </si>
  <si>
    <t>Ubicarse en causales del art. 17-H Bis del CFF (restricción de sellos digitales)</t>
  </si>
  <si>
    <t>7.2.2 fracc. I inciso d)</t>
  </si>
  <si>
    <t>Dejar de cumplir con las obligaciones establecidas en la regla 7.2.1</t>
  </si>
  <si>
    <t>7.2.2 fracc. I inciso e)</t>
  </si>
  <si>
    <t>No haber realizado el pago de derechos anual o por renovación (art. 40 inciso m) LFD, esquema e5cinco)</t>
  </si>
  <si>
    <t>7.2.2 fracc. I inciso f)</t>
  </si>
  <si>
    <t>Haberse emitido y notificado resolución de emisión de falsos comprobantes fiscales (art. 49 Bis CFF)</t>
  </si>
  <si>
    <t>7.2.2 fracc. I inciso g)</t>
  </si>
  <si>
    <t xml:space="preserve">  4.2 Causas específicas para rubros A, AA y AAA</t>
  </si>
  <si>
    <t>Socios, accionistas, representante legal o administración no al corriente en obligaciones fiscales</t>
  </si>
  <si>
    <t>7.2.2 fracc. II inciso a)</t>
  </si>
  <si>
    <t>Personal insuficiente, no registrado en IMSS, no al corriente en cuotas o sin retención/entero de ISR; en subcontratación, omisión art. 27 fracc. V Ley ISR</t>
  </si>
  <si>
    <t>7.2.2 fracc. II inciso b)</t>
  </si>
  <si>
    <t>Proveedores nacionales de insumos no al corriente en obligaciones fiscales</t>
  </si>
  <si>
    <t>7.2.2 fracc. II inciso c)</t>
  </si>
  <si>
    <t>Dejar de acreditar el legal uso y goce del inmueble para los procesos productivos</t>
  </si>
  <si>
    <t>7.2.2 fracc. II inciso d)</t>
  </si>
  <si>
    <t>Rubro AA o AAA: determinación y notificación de un crédito fiscal</t>
  </si>
  <si>
    <t>7.2.2 fracc. II inciso e)</t>
  </si>
  <si>
    <t>Resoluciones de improcedencia de devolución de IVA &gt;20% del total autorizado y/o monto negado &gt;$5,000,000 pesos en los últimos 6 meses</t>
  </si>
  <si>
    <t>7.2.2 fracc. II inciso f)</t>
  </si>
  <si>
    <t>No transmisión del informe de inventario existente o inicial, o de informes de descargo conforme al Anexo 30</t>
  </si>
  <si>
    <t>7.2.2 fracc. II inciso g)</t>
  </si>
  <si>
    <t>Control de inventarios no conforme al art. 59 fracc. I Ley Aduanera y disposiciones del SAT</t>
  </si>
  <si>
    <t>7.2.2 fracc. II inciso h)</t>
  </si>
  <si>
    <t>Proveedores en listados SAT: art. 49 Bis fracc. X o art. 69-B cuarto párrafo CFF</t>
  </si>
  <si>
    <t>7.2.2 fracc. II inciso i)</t>
  </si>
  <si>
    <t>5. CAUSAS DE CANCELACIÓN Y SUSPENSIÓN — Regla 7.2.4</t>
  </si>
  <si>
    <t xml:space="preserve">  ℹ️  Nota: La AGACE notifica el inicio del procedimiento; el contribuyente tiene 10 días para ofrecer pruebas y alegatos. La resolución debe emitirse en ≤4 meses. Los cancelados no podrán obtener el registro durante 2 años.</t>
  </si>
  <si>
    <t xml:space="preserve">  5.1 Causales generales — Apartado A (rubros A, AA, AAA y Socio Comercial)</t>
  </si>
  <si>
    <t>No desvirtuar las inconsistencias que generaron un requerimiento (regla 7.2.2)</t>
  </si>
  <si>
    <t>7.2.4 Apt. A, fracc. I</t>
  </si>
  <si>
    <t>No presentar los avisos establecidos en la regla 7.2.1</t>
  </si>
  <si>
    <t>7.2.4 Apt. A, fracc. II</t>
  </si>
  <si>
    <t>No acreditar durante la inspección de supervisión que se cuenta con la infraestructura necesaria para las actividades autorizadas</t>
  </si>
  <si>
    <t>7.2.4 Apt. A, fracc. III</t>
  </si>
  <si>
    <t>No llevar el sistema de control de inventarios de forma automatizada</t>
  </si>
  <si>
    <t>7.2.4 Apt. A, fracc. IV</t>
  </si>
  <si>
    <t>Presentar o declarar documentación o información falsa, alterada o con datos falsos en cualquier trámite o en operaciones de comercio exterior</t>
  </si>
  <si>
    <t>7.2.4 Apt. A, fracc. V</t>
  </si>
  <si>
    <t>El SAT interponga querella, denuncia penal o declaratoria de perjuicio contra socios, accionistas, representante legal o integrantes de la administración</t>
  </si>
  <si>
    <t>7.2.4 Apt. A, fracc. VI</t>
  </si>
  <si>
    <t>Contribuyente no localizado en domicilio fiscal o establecimientos no localizados/inexistentes</t>
  </si>
  <si>
    <t>7.2.4 Apt. A, fracc. VII</t>
  </si>
  <si>
    <t>Importar temporalmente mercancías del Anexo II del Decreto IMMEX sin autorización, o importar fracciones que no corresponden al proceso productivo</t>
  </si>
  <si>
    <t>7.2.4 Apt. A, fracc. VIII</t>
  </si>
  <si>
    <t>Socios/accionistas, representante legal o administración vinculados con empresa a quien se le canceló el registro (fracc. V, VI, VII Apt. A o II, III Apt. B)</t>
  </si>
  <si>
    <t>7.2.4 Apt. A, fracc. IX</t>
  </si>
  <si>
    <t>Nombre o domicilio del proveedor/productor, destinatario o comprador en pedimentos, CFDI o información proporcionada sean falsos, inexistentes o no localizados</t>
  </si>
  <si>
    <t>7.2.4 Apt. A, fracc. X</t>
  </si>
  <si>
    <t xml:space="preserve">  5.2 Causales específicas IVA e IEPS — Apartado B (rubros A, AA, AAA)</t>
  </si>
  <si>
    <t>Cancelación definitiva de la autorización, permiso o régimen aduanero bajo el cual se otorgó el registro (ej. cancelación definitiva del Programa IMMEX)</t>
  </si>
  <si>
    <t>7.2.4 Apt. B, fracc. I</t>
  </si>
  <si>
    <t>Empresas IMMEX: mercancías importadas temporalmente no retornadas, transferidas ni destinadas a otro régimen dentro del plazo autorizado</t>
  </si>
  <si>
    <t>7.2.4 Apt. B, fracc. II</t>
  </si>
  <si>
    <t>Las autoridades aduaneras detectan que las mercancías importadas temporalmente no se encuentran en los domicilios autorizados</t>
  </si>
  <si>
    <t>7.2.4 Apt. B, fracc. III</t>
  </si>
  <si>
    <t>No acreditar la legal estancia de mercancías de comercio exterior por más de $100,000 pesos y no cubrir el crédito fiscal determinado y notificado por el SAT</t>
  </si>
  <si>
    <t>7.2.4 Apt. B, fracc. IV</t>
  </si>
  <si>
    <t>Suspensión definitiva confirmada en el Padrón de Importadores o padrones específicos/sectoriales</t>
  </si>
  <si>
    <t>7.2.4 Apt. B, fracc. V</t>
  </si>
  <si>
    <t>La AGACE constata (inspección o facultades de comprobación) que no cuenta con infraestructura para operar el Programa IMMEX/RFE/depósito fiscal; incumple proceso productivo o no tiene la inversión declarada</t>
  </si>
  <si>
    <t>7.2.4 Apt. B, fracc. VI</t>
  </si>
  <si>
    <t>No haber retornado mercancías importadas temporalmente conforme a los porcentajes de la regla 7.1.2 (Apartados A fracc. III y B)</t>
  </si>
  <si>
    <t>7.2.4 Apt. B, fracc. VII</t>
  </si>
  <si>
    <t xml:space="preserve">  5.3 Causales de suspensión del registro</t>
  </si>
  <si>
    <t>Suspensión del Programa IMMEX por parte de la SE (el registro se suspende mientras dure; si se cancela el IMMEX, se inicia cancelación del registro)</t>
  </si>
  <si>
    <t>7.2.4 Suspensión, fracc. I</t>
  </si>
  <si>
    <t>Clave en el RFC suspendida por la autoridad competente (hasta que la autoridad resuelva la situación)</t>
  </si>
  <si>
    <t>7.2.4 Suspensión, fracc. II</t>
  </si>
  <si>
    <t>Impedir el acceso a la AGACE para llevar a cabo la supervisión de cumplimiento, sin solicitar nueva fecha dentro de los 15 días siguientes</t>
  </si>
  <si>
    <t>7.2.4 Suspensión, fracc. III</t>
  </si>
  <si>
    <t>6. SOLICITUD DE REGISTRO / RENOVACIÓN — Ficha 61/LA</t>
  </si>
  <si>
    <t>Pago de derechos: $40,267.00 a través del esquema electrónico e5cinco. El aviso de renovación es gratuito.</t>
  </si>
  <si>
    <t>61/LA · Monto</t>
  </si>
  <si>
    <t>Pueden solicitarlo personas físicas o morales</t>
  </si>
  <si>
    <t>61/LA · ¿Quién?</t>
  </si>
  <si>
    <t>Se presenta en la Ventanilla Digital: https://www.ventanillaunica.gob.mx</t>
  </si>
  <si>
    <t>61/LA · ¿Dónde?</t>
  </si>
  <si>
    <t>Para obtener el registro: presentar cuando se desee. Para renovación: presentar 30 días previos al vencimiento de la vigencia</t>
  </si>
  <si>
    <t>61/LA · ¿Cuándo?</t>
  </si>
  <si>
    <t>Vigencia: IVA e IEPS = 1 año; Comercializadora e Importadora / OEA / Socio Comercial Certificado = 2 años</t>
  </si>
  <si>
    <t>61/LA · Vigencia</t>
  </si>
  <si>
    <t>Plazo SAT para resolver: IVA e IEPS y Comercializadora e Importadora = 60 días; OEA y Socio Comercial Certificado = 120 días</t>
  </si>
  <si>
    <t>61/LA · Resolución</t>
  </si>
  <si>
    <t>Plazo para cumplir información adicional solicitada por el SAT: 15 días. De no cumplir, la solicitud se tiene por no presentada</t>
  </si>
  <si>
    <t>61/LA · Info adicional</t>
  </si>
  <si>
    <t>La autoridad podrá realizar visita de inspección inicial para constatar el cumplimiento de requisitos y obligaciones</t>
  </si>
  <si>
    <t>61/LA · Inspección</t>
  </si>
  <si>
    <t>Documento que acredite la relación laboral de los enlaces operativos (recibo de nómina, contrato laboral o carta firmada por el representante legal)</t>
  </si>
  <si>
    <t>61/LA Apt.A fracc.I inciso a)</t>
  </si>
  <si>
    <t>Registros patronales y constancias de la totalidad del personal registrado ante el IMSS del SUA, del último bimestre anterior a la solicitud. Para rubro A: primeras y últimas hojas de al menos 10 trabajadores + listado nombre/RFC</t>
  </si>
  <si>
    <t>61/LA Apt.A fracc.I inciso b)</t>
  </si>
  <si>
    <t>Última declaración de retenciones de ISR por salarios + comprobante del entero de las contribuciones retenidas de trabajadores</t>
  </si>
  <si>
    <t>61/LA Apt.A fracc.I inciso c)</t>
  </si>
  <si>
    <t>Comprobante de pago SIPARE (o acorde al SUA) de cuotas obrero-patronales del último bimestre. Nota: no son válidos comprobantes con leyenda de que no tienen efectos fiscales o legales</t>
  </si>
  <si>
    <t>61/LA Apt.A fracc.I inciso d)</t>
  </si>
  <si>
    <t>En caso de subcontratación de servicios especializados: documentación que acredite el cumplimiento del art. 27 fracc. V tercer párrafo Ley ISR</t>
  </si>
  <si>
    <t>61/LA Apt.A fracc.I inciso d) párr.2</t>
  </si>
  <si>
    <t>Listado de clientes y proveedores en el extranjero (nombre, denominación y domicilio), vinculados al régimen solicitado, con operaciones de CE en los últimos 12 meses, distinguiendo rol (cliente/proveedor)</t>
  </si>
  <si>
    <t>61/LA Apt.A fracc.I inciso e)</t>
  </si>
  <si>
    <t>Listado de proveedores de insumos en territorio nacional (nombre y RFC), vinculados al proceso del régimen solicitado, de los últimos 6 meses. Si no hay, escrito libre bajo protesta de decir verdad del representante legal</t>
  </si>
  <si>
    <t>61/LA Apt.A fracc.I inciso f)</t>
  </si>
  <si>
    <t>Contrato o título de propiedad del inmueble donde se realizan los procesos productivos, con vigencia forzosa ≥1 año y al menos 8 meses restantes. En subarrendamiento: contrato principal + autorización general para subarrendar</t>
  </si>
  <si>
    <t>61/LA Apt.A fracc.I inciso g)</t>
  </si>
  <si>
    <t>Reporte de saldos de mercancías de importación temporal de un mes (dentro de los últimos 3 meses previos a la solicitud), con: número de pedimento, fecha de pago/entrada, clave de pedimento, fracción arancelaria, cantidad, valor, saldo y valor del saldo</t>
  </si>
  <si>
    <t>61/LA Apt.A fracc.I inciso h)</t>
  </si>
  <si>
    <t>Listado de socios, accionistas, representantes legales con facultad para actos de dominio e integrantes de la administración obligados a tributar en México</t>
  </si>
  <si>
    <t>61/LA Apt.A fracc.I inciso i)</t>
  </si>
  <si>
    <t>Socios/accionistas NO obligados a tributar en México: Forma Oficial 96 (ficha 39/CFF) del ejercicio en curso o último ejercicio + acuse de presentación ante el SAT</t>
  </si>
  <si>
    <t>61/LA Apt.A fracc.I inciso i) párr.2</t>
  </si>
  <si>
    <t>Representante legal / administrador único / consejo de administración NO obligados a tributar en México: opinión 'Sin obligaciones fiscales', constancia de residencia fiscal, declaraciones del país donde tributan o pasaporte</t>
  </si>
  <si>
    <t>61/LA Apt.A fracc.I inciso i) párr.3</t>
  </si>
  <si>
    <t>Manifestación bajo protesta de decir verdad de que ningún socio ha sido condenado por delitos que ameriten pena corporal</t>
  </si>
  <si>
    <t>61/LA Apt.A fracc.I inciso j)</t>
  </si>
  <si>
    <t>Manifestación bajo protesta de decir verdad de que no se tienen sanciones administrativas por importación o exportación de mercancías</t>
  </si>
  <si>
    <t>61/LA Apt.A fracc.I inciso k)</t>
  </si>
  <si>
    <t>Recibo de pago de derechos con sello digital o comprobante e5cinco ($40,267.00). Liga: https://aplicacionesc.mat.sat.gob.mx/e5cinco/</t>
  </si>
  <si>
    <t>61/LA Apt.A fracc.I inciso l)</t>
  </si>
  <si>
    <t>CFDI, título de propiedad, pedimentos de importación o contratos que acrediten el legal uso o goce de maquinaria y equipo + CFDI que amparen el pago</t>
  </si>
  <si>
    <t>61/LA fracc.II inciso a) num.1 rom.i</t>
  </si>
  <si>
    <t>Fotografías de la planta productiva y del proceso productivo</t>
  </si>
  <si>
    <t>61/LA fracc.II inciso a) num.1 rom.ii</t>
  </si>
  <si>
    <t>Si se declararon constancias de transferencia de mercancías: 2 constancias + Excel con nombres, domicilios y montos de las empresas receptoras</t>
  </si>
  <si>
    <t>61/LA fracc.II inciso a) num.1 rom.iii</t>
  </si>
  <si>
    <t>Diagrama de flujo detallado del principal proceso productivo (origen, entrada al país, recepción, materiales con fracción arancelaria, almacenamiento, proceso, salida, destino/descargo y submanufactura)</t>
  </si>
  <si>
    <t>61/LA fracc.II inciso a) num.1 rom.iv</t>
  </si>
  <si>
    <t>Contrato de maquila, compraventa, orden de compra, de servicios o pedidos en firme vigentes, con razón social, vigencia, firmas de las partes y traducción al español si aplica</t>
  </si>
  <si>
    <t>61/LA fracc.II inciso a) num.1 rom.v</t>
  </si>
  <si>
    <t>Para importación de mercancías del Anexo II Decreto IMMEX o Anexo 28 RGCE: documentación que acredite operaciones al amparo del IMMEX en al menos los 12 meses previos a la solicitud</t>
  </si>
  <si>
    <t>61/LA fracc.II inciso a) num.2 rom.i</t>
  </si>
  <si>
    <t>Acreditar al menos UNO de: constancias de más de 1,000 empleados ante IMSS/SUA de los últimos 12 meses, O declaración fiscal/CFDI/título con valor de maquinaria y equipo ≥$50,000,000 pesos</t>
  </si>
  <si>
    <t>61/LA fracc.II inciso b)</t>
  </si>
  <si>
    <t>Si hay crédito fiscal del SAT en los últimos 12 meses: adjuntar autorización de pago a plazos (parcialidades o diferido) + comprobante de pago</t>
  </si>
  <si>
    <t>61/LA fracc.II inciso b) párr.2</t>
  </si>
  <si>
    <t>Acreditar al menos UNO de: constancias de más de 2,500 empleados ante IMSS/SUA de los últimos 12 meses, O documentos con valor de maquinaria y equipo ≥$100,000,000 pesos, O listado de proveedores de insumos nacionales o empresas que transfieren mercancías (valores de los últimos 6 meses)</t>
  </si>
  <si>
    <t>61/LA fracc.II inciso c)</t>
  </si>
  <si>
    <t>Documentación que acredite importaciones en el semestre inmediato anterior con valor en aduana no menor a $300,000,000 pesos</t>
  </si>
  <si>
    <t>61/LA Apt.A fracc.III</t>
  </si>
  <si>
    <t>No deberás contar con Programa IMMEX (condición XXV)</t>
  </si>
  <si>
    <t>61/LA Condición XXV</t>
  </si>
  <si>
    <t>OEA — todos los rubros: Formato E3 'Perfil de la Empresa' o E8 'Perfil del Recinto Fiscalizado Estratégico' (Anexo 1 RGCE) por cada instalación; haber efectuado operaciones de CE en los últimos 2 años</t>
  </si>
  <si>
    <t>61/LA Apt.A fracc.IV</t>
  </si>
  <si>
    <t>OEA — Rubro Controladora: documento SE que acredite designación + listado de sociedades controladas + diagrama de estructura accionaria + autorización IMMEX vigente</t>
  </si>
  <si>
    <t>61/LA fracc.IV inciso b)</t>
  </si>
  <si>
    <t>OEA — Rubro SECIIT: Registro IVA e IEPS AA o AAA vigente + dictamen favorable + activos fijos ≥USD $30,000,000 o cotización en mercados reconocidos + sistemas de rastreo + diagrama de flujo con acceso electrónico permanente de la autoridad</t>
  </si>
  <si>
    <t>61/LA fracc.IV inciso d)</t>
  </si>
  <si>
    <t>OEA — Rubro Textil: constancias de al menos 30 empleados (en lugar de los 10 del requisito general)</t>
  </si>
  <si>
    <t>61/LA fracc.IV inciso e)</t>
  </si>
  <si>
    <t>OEA — Rubro Recinto Fiscalizado Estratégico: concesión o autorización para manejo, almacenaje y custodia de mercancías de CE (arts. 14 y 14-A Ley Aduanera)</t>
  </si>
  <si>
    <t>61/LA fracc.IV inciso f)</t>
  </si>
  <si>
    <t>OEA — Rubro Tercerización Logística: contrato con terceros + listado de terceros (nombre, RFC, tipo de registro) + al menos una instalación para servicios logísticos</t>
  </si>
  <si>
    <t>61/LA fracc.IV inciso g) + Condición XXII</t>
  </si>
  <si>
    <t>Socio Comercial — Auto Transportista Terrestre: doc. de autotransporte federal + Formato E5 + sistemas de rastreo + permiso SICT + 2 años de experiencia + escrito con número de unidades</t>
  </si>
  <si>
    <t>61/LA fracc.V inciso a)</t>
  </si>
  <si>
    <t>Socio Comercial — Agente Aduanal: Formato E4 + patente activa sin procesos en los últimos 3 años + 2 años de despacho por cuenta ajena</t>
  </si>
  <si>
    <t>61/LA fracc.V inciso b)</t>
  </si>
  <si>
    <t>Socio Comercial — Transportista Ferroviario: Formato E9 + concesión/permiso SICT + unidades con sistemas de rastreo + 2 años de experiencia en transporte ferroviario de carga</t>
  </si>
  <si>
    <t>61/LA fracc.V inciso c)</t>
  </si>
  <si>
    <t>Socio Comercial — Mensajería y Paquetería: Formato E6 + contrato ≥5 años con ≥30 aeronaves + rutas aéreas ante DGAC + concesión para manejo/almacenaje + activos fijos ≥USD $1,000,000</t>
  </si>
  <si>
    <t>61/LA fracc.V inciso f)</t>
  </si>
  <si>
    <t>Socio Comercial — Almacén General de Depósito: Formato E11 + autorización vigente para depósito fiscal + 2 años de experiencia</t>
  </si>
  <si>
    <t>61/LA fracc.V inciso g) + Condición XXIV</t>
  </si>
  <si>
    <t>Contar con e.firma vigente</t>
  </si>
  <si>
    <t>61/LA Condición I</t>
  </si>
  <si>
    <t>Estar al corriente en obligaciones fiscales y autorizar al SAT para publicar la opinión positiva (RMF 2.1.24)</t>
  </si>
  <si>
    <t>61/LA Condición II · CFF art. 32-D</t>
  </si>
  <si>
    <t>Cumplir con la obligación de retener y enterar el ISR de los trabajadores del proceso productivo o servicio</t>
  </si>
  <si>
    <t>61/LA Condición III</t>
  </si>
  <si>
    <t>61/LA Condición IV</t>
  </si>
  <si>
    <t>61/LA Condición V</t>
  </si>
  <si>
    <t>Tener registrados ante el SAT todos los domicilios vinculados al IMMEX o actividades de CE. El domicilio del contrato debe coincidir con alguno de los registrados ante el SAT</t>
  </si>
  <si>
    <t>61/LA Condición VI + Info adicional II</t>
  </si>
  <si>
    <t>Buzón tributario con estatus 'Validado' (CFF art. 17-K penúltimo párrafo)</t>
  </si>
  <si>
    <t>61/LA Condición VII</t>
  </si>
  <si>
    <t>61/LA Condición VIII</t>
  </si>
  <si>
    <t>El SAT no haya interpuesto querella, denuncia penal o declaratoria de perjuicio contra socios, accionistas, representante legal o administración en los últimos 3 años</t>
  </si>
  <si>
    <t>61/LA Condición IX</t>
  </si>
  <si>
    <t>Llevar el control de inventarios conforme al art. 59 fracc. I Ley Aduanera y Anexo 24 RGCE</t>
  </si>
  <si>
    <t>61/LA Condición X</t>
  </si>
  <si>
    <t>Llevar contabilidad en medios electrónicos e ingresarla mensualmente al Portal SAT (CFF art. 28 fracc. III y IV; RMF 2.8.1.5. y 2.8.1.6.)</t>
  </si>
  <si>
    <t>61/LA Condición XI</t>
  </si>
  <si>
    <t>Socios, accionistas, representante legal, integrantes de la administración y mandatarios al corriente en obligaciones fiscales</t>
  </si>
  <si>
    <t>61/LA Condición XII</t>
  </si>
  <si>
    <t>Socios, accionistas, representantes legales e integrantes de la administración no vinculados con empresa a quien se le canceló el Registro del Esquema de Certificación</t>
  </si>
  <si>
    <t>61/LA Condición XIII</t>
  </si>
  <si>
    <t>Haber realizado el pago de derechos art. 40 inciso m) LFD — $40,267.00 mediante e5cinco (Anexo 4 RMF 2026)</t>
  </si>
  <si>
    <t>61/LA Condición XIV · LFD art. 40</t>
  </si>
  <si>
    <t>Si anteriormente contó con el Registro IVA e IEPS o garantizó el interés fiscal: estar al corriente en obligaciones del Anexo 30 RGCE</t>
  </si>
  <si>
    <t>61/LA Condición XVI · Anexo 30</t>
  </si>
  <si>
    <t>Para importación de mercancías Anexo II Decreto IMMEX o Anexo 28 RGCE: haber operado al menos 12 meses previos a la solicitud (salvo grupo conforme a regla 7.1.7 RGCE)</t>
  </si>
  <si>
    <t>61/LA Condición XVII</t>
  </si>
  <si>
    <t>No haberse emitido y notificado resolución de emisión de falsos comprobantes fiscales (art. 49 Bis CFF)</t>
  </si>
  <si>
    <t>61/LA Condición XXVI · CFF art. 49 Bis</t>
  </si>
  <si>
    <t>Documentación en idioma distinto al español debe acompañarse de su traducción al español</t>
  </si>
  <si>
    <t>61/LA Info adicional I</t>
  </si>
  <si>
    <t>1. Req. Generales</t>
  </si>
  <si>
    <t>2. Req. Rubro</t>
  </si>
  <si>
    <t>6. Solicitud 61/LA</t>
  </si>
  <si>
    <t>TOTAL</t>
  </si>
  <si>
    <t>Estado</t>
  </si>
  <si>
    <t>Cantidad</t>
  </si>
  <si>
    <t>Cliente</t>
  </si>
  <si>
    <t>Asesor Russell Bedford</t>
  </si>
  <si>
    <t>AGACE</t>
  </si>
  <si>
    <t>Otro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</si>
</sst>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dd/mm"/>
  </numFmts>
  <fonts count="51" x14ac:knownFonts="1">
    <font>
      <sz val="11"/>
      <color theme="1"/>
      <name val="Calibri"/>
      <family val="2"/>
      <scheme val="minor"/>
    </font>
    <font>
      <b/>
      <sz val="15"/>
      <color rgb="FFFFFFFF"/>
      <name val="Calibri"/>
      <family val="2"/>
    </font>
    <font>
      <i/>
      <sz val="9"/>
      <color rgb="FF011771"/>
      <name val="Calibri"/>
      <family val="2"/>
    </font>
    <font>
      <b/>
      <sz val="10"/>
      <color rgb="FFFFFFFF"/>
      <name val="Calibri"/>
      <family val="2"/>
    </font>
    <font>
      <sz val="9"/>
      <color rgb="FF666666"/>
      <name val="Calibri"/>
      <family val="2"/>
    </font>
    <font>
      <sz val="10"/>
      <color rgb="FF000000"/>
      <name val="Calibri"/>
      <family val="2"/>
    </font>
    <font>
      <i/>
      <sz val="9"/>
      <color rgb="FF555555"/>
      <name val="Calibri"/>
      <family val="2"/>
    </font>
    <font>
      <i/>
      <sz val="9"/>
      <color rgb="FF0DAFBE"/>
      <name val="Calibri"/>
      <family val="2"/>
    </font>
    <font>
      <i/>
      <sz val="9"/>
      <color rgb="FFE28C15"/>
      <name val="Calibri"/>
      <family val="2"/>
    </font>
    <font>
      <i/>
      <sz val="9"/>
      <color rgb="FF5A3E00"/>
      <name val="Calibri"/>
      <family val="2"/>
    </font>
    <font>
      <i/>
      <sz val="9"/>
      <color rgb="FF8E2193"/>
      <name val="Calibri"/>
      <family val="2"/>
    </font>
    <font>
      <b/>
      <sz val="20"/>
      <color rgb="FFFFFFFF"/>
      <name val="Calibri"/>
      <family val="2"/>
    </font>
    <font>
      <i/>
      <sz val="11"/>
      <color rgb="FF011771"/>
      <name val="Calibri"/>
      <family val="2"/>
    </font>
    <font>
      <b/>
      <sz val="11"/>
      <color rgb="FF011771"/>
      <name val="Calibri"/>
      <family val="2"/>
    </font>
    <font>
      <b/>
      <sz val="9"/>
      <color rgb="FF011771"/>
      <name val="Calibri"/>
      <family val="2"/>
    </font>
    <font>
      <b/>
      <sz val="9"/>
      <color rgb="FF000000"/>
      <name val="Calibri"/>
      <family val="2"/>
    </font>
    <font>
      <sz val="9"/>
      <color rgb="FF000000"/>
      <name val="Calibri"/>
      <family val="2"/>
    </font>
    <font>
      <b/>
      <sz val="9"/>
      <color rgb="FF9C0006"/>
      <name val="Calibri"/>
      <family val="2"/>
    </font>
    <font>
      <b/>
      <sz val="9"/>
      <color rgb="FF276221"/>
      <name val="Calibri"/>
      <family val="2"/>
    </font>
    <font>
      <b/>
      <sz val="9"/>
      <color rgb="FF595959"/>
      <name val="Calibri"/>
      <family val="2"/>
    </font>
    <font>
      <i/>
      <sz val="8"/>
      <color rgb="FF888888"/>
      <name val="Calibri"/>
      <family val="2"/>
    </font>
    <font>
      <sz val="10"/>
      <color rgb="FF595959"/>
      <name val="Calibri"/>
      <family val="2"/>
    </font>
    <font>
      <b/>
      <sz val="12"/>
      <color rgb="FFFFFFFF"/>
      <name val="Calibri"/>
      <family val="2"/>
    </font>
    <font>
      <i/>
      <sz val="9"/>
      <color rgb="FF4B0082"/>
      <name val="Calibri"/>
      <family val="2"/>
    </font>
    <font>
      <b/>
      <sz val="22"/>
      <color rgb="FFFFFFFF"/>
      <name val="Calibri"/>
      <family val="2"/>
    </font>
    <font>
      <i/>
      <sz val="10"/>
      <color rgb="FF011771"/>
      <name val="Calibri"/>
      <family val="2"/>
    </font>
    <font>
      <b/>
      <sz val="9"/>
      <color rgb="FFFFFFFF"/>
      <name val="Calibri"/>
      <family val="2"/>
    </font>
    <font>
      <b/>
      <sz val="32"/>
      <color rgb="FF011771"/>
      <name val="Calibri"/>
      <family val="2"/>
    </font>
    <font>
      <b/>
      <sz val="32"/>
      <color rgb="FF276221"/>
      <name val="Calibri"/>
      <family val="2"/>
    </font>
    <font>
      <b/>
      <sz val="32"/>
      <color rgb="FF9C0006"/>
      <name val="Calibri"/>
      <family val="2"/>
    </font>
    <font>
      <b/>
      <sz val="32"/>
      <color rgb="FFE28C15"/>
      <name val="Calibri"/>
      <family val="2"/>
    </font>
    <font>
      <b/>
      <sz val="32"/>
      <color rgb="FF0DAFBE"/>
      <name val="Calibri"/>
      <family val="2"/>
    </font>
    <font>
      <b/>
      <sz val="32"/>
      <color rgb="FF8E2193"/>
      <name val="Calibri"/>
      <family val="2"/>
    </font>
    <font>
      <b/>
      <sz val="16"/>
      <color rgb="FFFFFFFF"/>
      <name val="Calibri"/>
      <family val="2"/>
    </font>
    <font>
      <b/>
      <sz val="10"/>
      <color rgb="FF011771"/>
      <name val="Calibri"/>
      <family val="2"/>
    </font>
    <font>
      <b/>
      <sz val="8"/>
      <color rgb="FFFFFFFF"/>
      <name val="Calibri"/>
      <family val="2"/>
    </font>
    <font>
      <sz val="9"/>
      <color rgb="FF011771"/>
      <name val="Calibri"/>
      <family val="2"/>
    </font>
    <font>
      <sz val="10"/>
      <color rgb="FF011771"/>
      <name val="Calibri"/>
      <family val="2"/>
    </font>
    <font>
      <b/>
      <sz val="12"/>
      <color rgb="FF011771"/>
      <name val="Calibri"/>
      <family val="2"/>
    </font>
    <font>
      <i/>
      <sz val="9"/>
      <color rgb="FF7F6000"/>
      <name val="Calibri"/>
      <family val="2"/>
    </font>
    <font>
      <sz val="7"/>
      <color rgb="FF444444"/>
      <name val="Calibri"/>
      <family val="2"/>
    </font>
    <font>
      <b/>
      <sz val="9"/>
      <color rgb="FF7F4000"/>
      <name val="Calibri"/>
      <family val="2"/>
    </font>
    <font>
      <i/>
      <sz val="8"/>
      <color rgb="FFE28C15"/>
      <name val="Calibri"/>
      <family val="2"/>
    </font>
    <font>
      <sz val="7"/>
      <color rgb="FFBBBBBB"/>
      <name val="Calibri"/>
      <family val="2"/>
    </font>
    <font>
      <sz val="8"/>
      <color rgb="FF777777"/>
      <name val="Calibri"/>
      <family val="2"/>
    </font>
    <font>
      <i/>
      <sz val="9"/>
      <color rgb="FF888888"/>
      <name val="Calibri"/>
      <family val="2"/>
    </font>
    <font>
      <b/>
      <sz val="8"/>
      <color rgb="FF7F6000"/>
      <name val="Calibri"/>
      <family val="2"/>
    </font>
    <font>
      <sz val="8"/>
      <color rgb="FF000000"/>
      <name val="Calibri"/>
      <family val="2"/>
    </font>
    <font>
      <b/>
      <sz val="8"/>
      <color rgb="FF276221"/>
      <name val="Calibri"/>
      <family val="2"/>
    </font>
    <font>
      <b/>
      <sz val="8"/>
      <color rgb="FF9C0006"/>
      <name val="Calibri"/>
      <family val="2"/>
    </font>
    <font>
      <b/>
      <sz val="8"/>
      <color rgb="FF7F4000"/>
      <name val="Calibri"/>
      <family val="2"/>
    </font>
  </fonts>
  <fills count="20">
    <fill>
      <patternFill patternType="none"/>
    </fill>
    <fill>
      <patternFill patternType="gray125"/>
    </fill>
    <fill>
      <patternFill patternType="solid">
        <fgColor rgb="FF011771"/>
      </patternFill>
    </fill>
    <fill>
      <patternFill patternType="solid">
        <fgColor rgb="FFFFFFFF"/>
      </patternFill>
    </fill>
    <fill>
      <patternFill patternType="solid">
        <fgColor rgb="FFE0E0E0"/>
      </patternFill>
    </fill>
    <fill>
      <patternFill patternType="solid">
        <fgColor rgb="FFF5F5F5"/>
      </patternFill>
    </fill>
    <fill>
      <patternFill patternType="solid">
        <fgColor rgb="FF0DAFBE"/>
      </patternFill>
    </fill>
    <fill>
      <patternFill patternType="solid">
        <fgColor rgb="FFE28C15"/>
      </patternFill>
    </fill>
    <fill>
      <patternFill patternType="solid">
        <fgColor rgb="FFFEF3DC"/>
      </patternFill>
    </fill>
    <fill>
      <patternFill patternType="solid">
        <fgColor rgb="FF8E2193"/>
      </patternFill>
    </fill>
    <fill>
      <patternFill patternType="solid">
        <fgColor rgb="FFD6DBF5"/>
      </patternFill>
    </fill>
    <fill>
      <patternFill patternType="solid">
        <fgColor rgb="FFD5F3F6"/>
      </patternFill>
    </fill>
    <fill>
      <patternFill patternType="solid">
        <fgColor rgb="FFF4DCF5"/>
      </patternFill>
    </fill>
    <fill>
      <patternFill patternType="solid">
        <fgColor rgb="FFFFC7CE"/>
      </patternFill>
    </fill>
    <fill>
      <patternFill patternType="solid">
        <fgColor rgb="FFC6EFCE"/>
      </patternFill>
    </fill>
    <fill>
      <patternFill patternType="solid">
        <fgColor rgb="FFD9D9D9"/>
      </patternFill>
    </fill>
    <fill>
      <patternFill patternType="solid">
        <fgColor rgb="FF276221"/>
      </patternFill>
    </fill>
    <fill>
      <patternFill patternType="solid">
        <fgColor rgb="FF9C0006"/>
      </patternFill>
    </fill>
    <fill>
      <patternFill patternType="solid">
        <fgColor rgb="FFFFF2CC"/>
      </patternFill>
    </fill>
    <fill>
      <patternFill patternType="solid">
        <fgColor rgb="FFDDDDDD"/>
      </patternFill>
    </fill>
  </fills>
  <borders count="50">
    <border>
      <left/>
      <right/>
      <top/>
      <bottom/>
      <diagonal/>
    </border>
    <border>
      <left style="thin">
        <color rgb="FF011771"/>
      </left>
      <right style="thin">
        <color rgb="FF011771"/>
      </right>
      <top style="thin">
        <color rgb="FF011771"/>
      </top>
      <bottom style="thin">
        <color rgb="FF011771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0DAFBE"/>
      </left>
      <right style="thin">
        <color rgb="FF0DAFBE"/>
      </right>
      <top style="thin">
        <color rgb="FF0DAFBE"/>
      </top>
      <bottom style="thin">
        <color rgb="FF0DAFBE"/>
      </bottom>
      <diagonal/>
    </border>
    <border>
      <left/>
      <right/>
      <top/>
      <bottom style="medium">
        <color rgb="FF0DAFBE"/>
      </bottom>
      <diagonal/>
    </border>
    <border>
      <left style="thin">
        <color rgb="FFE28C15"/>
      </left>
      <right style="thin">
        <color rgb="FFE28C15"/>
      </right>
      <top style="thin">
        <color rgb="FFE28C15"/>
      </top>
      <bottom style="thin">
        <color rgb="FFE28C15"/>
      </bottom>
      <diagonal/>
    </border>
    <border>
      <left style="thin">
        <color rgb="FF8E2193"/>
      </left>
      <right style="thin">
        <color rgb="FF8E2193"/>
      </right>
      <top style="thin">
        <color rgb="FF8E2193"/>
      </top>
      <bottom style="thin">
        <color rgb="FF8E2193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/>
      <bottom style="medium">
        <color rgb="FF0DAFBE"/>
      </bottom>
      <diagonal/>
    </border>
    <border>
      <left/>
      <right/>
      <top style="thin">
        <color rgb="FF011771"/>
      </top>
      <bottom/>
      <diagonal/>
    </border>
    <border>
      <left/>
      <right style="thin">
        <color rgb="FF011771"/>
      </right>
      <top style="thin">
        <color rgb="FF011771"/>
      </top>
      <bottom/>
      <diagonal/>
    </border>
    <border>
      <left/>
      <right/>
      <top style="thin">
        <color rgb="FF011771"/>
      </top>
      <bottom style="thin">
        <color rgb="FF011771"/>
      </bottom>
      <diagonal/>
    </border>
    <border>
      <left/>
      <right style="thin">
        <color rgb="FF011771"/>
      </right>
      <top style="thin">
        <color rgb="FF011771"/>
      </top>
      <bottom style="thin">
        <color rgb="FF011771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0DAFBE"/>
      </top>
      <bottom style="thin">
        <color rgb="FF0DAFBE"/>
      </bottom>
      <diagonal/>
    </border>
    <border>
      <left/>
      <right style="thin">
        <color rgb="FF0DAFBE"/>
      </right>
      <top style="thin">
        <color rgb="FF0DAFBE"/>
      </top>
      <bottom style="thin">
        <color rgb="FF0DAFBE"/>
      </bottom>
      <diagonal/>
    </border>
    <border>
      <left/>
      <right/>
      <top/>
      <bottom style="medium">
        <color rgb="FF011771"/>
      </bottom>
      <diagonal/>
    </border>
    <border>
      <left/>
      <right/>
      <top style="thin">
        <color rgb="FFE28C15"/>
      </top>
      <bottom style="thin">
        <color rgb="FFE28C15"/>
      </bottom>
      <diagonal/>
    </border>
    <border>
      <left/>
      <right style="thin">
        <color rgb="FFE28C15"/>
      </right>
      <top style="thin">
        <color rgb="FFE28C15"/>
      </top>
      <bottom style="thin">
        <color rgb="FFE28C15"/>
      </bottom>
      <diagonal/>
    </border>
    <border>
      <left/>
      <right/>
      <top/>
      <bottom style="medium">
        <color rgb="FFE28C15"/>
      </bottom>
      <diagonal/>
    </border>
    <border>
      <left/>
      <right/>
      <top style="thin">
        <color rgb="FF8E2193"/>
      </top>
      <bottom style="thin">
        <color rgb="FF8E2193"/>
      </bottom>
      <diagonal/>
    </border>
    <border>
      <left/>
      <right style="thin">
        <color rgb="FF8E2193"/>
      </right>
      <top style="thin">
        <color rgb="FF8E2193"/>
      </top>
      <bottom style="thin">
        <color rgb="FF8E2193"/>
      </bottom>
      <diagonal/>
    </border>
    <border>
      <left/>
      <right/>
      <top/>
      <bottom style="medium">
        <color rgb="FF8E2193"/>
      </bottom>
      <diagonal/>
    </border>
    <border>
      <left/>
      <right/>
      <top/>
      <bottom style="medium">
        <color rgb="FF011771"/>
      </bottom>
      <diagonal/>
    </border>
    <border>
      <left/>
      <right/>
      <top/>
      <bottom style="medium">
        <color rgb="FF0DAFBE"/>
      </bottom>
      <diagonal/>
    </border>
    <border>
      <left/>
      <right/>
      <top/>
      <bottom style="medium">
        <color rgb="FFE28C15"/>
      </bottom>
      <diagonal/>
    </border>
    <border>
      <left/>
      <right/>
      <top/>
      <bottom style="medium">
        <color rgb="FF8E2193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rgb="FF276221"/>
      </left>
      <right style="thin">
        <color rgb="FF276221"/>
      </right>
      <top style="thin">
        <color rgb="FF276221"/>
      </top>
      <bottom style="thin">
        <color rgb="FF276221"/>
      </bottom>
      <diagonal/>
    </border>
    <border>
      <left style="thin">
        <color rgb="FF9C0006"/>
      </left>
      <right style="thin">
        <color rgb="FF9C0006"/>
      </right>
      <top style="thin">
        <color rgb="FF9C0006"/>
      </top>
      <bottom style="thin">
        <color rgb="FF9C0006"/>
      </bottom>
      <diagonal/>
    </border>
    <border>
      <left style="medium">
        <color rgb="FFE28C15"/>
      </left>
      <right style="medium">
        <color rgb="FFE28C15"/>
      </right>
      <top style="medium">
        <color rgb="FFE28C15"/>
      </top>
      <bottom style="medium">
        <color rgb="FFE28C15"/>
      </bottom>
      <diagonal/>
    </border>
    <border>
      <left/>
      <right/>
      <top style="thin">
        <color rgb="FF9C0006"/>
      </top>
      <bottom style="thin">
        <color rgb="FF9C0006"/>
      </bottom>
      <diagonal/>
    </border>
    <border>
      <left/>
      <right style="thin">
        <color rgb="FF9C0006"/>
      </right>
      <top style="thin">
        <color rgb="FF9C0006"/>
      </top>
      <bottom style="thin">
        <color rgb="FF9C0006"/>
      </bottom>
      <diagonal/>
    </border>
    <border>
      <left/>
      <right/>
      <top style="thin">
        <color rgb="FFE0E0E0"/>
      </top>
      <bottom/>
      <diagonal/>
    </border>
    <border>
      <left/>
      <right style="thin">
        <color rgb="FFE0E0E0"/>
      </right>
      <top style="thin">
        <color rgb="FFE0E0E0"/>
      </top>
      <bottom/>
      <diagonal/>
    </border>
    <border>
      <left style="thin">
        <color rgb="FFE0E0E0"/>
      </left>
      <right/>
      <top/>
      <bottom style="thin">
        <color rgb="FFE0E0E0"/>
      </bottom>
      <diagonal/>
    </border>
    <border>
      <left/>
      <right/>
      <top/>
      <bottom style="thin">
        <color rgb="FFE0E0E0"/>
      </bottom>
      <diagonal/>
    </border>
    <border>
      <left/>
      <right style="thin">
        <color rgb="FFE0E0E0"/>
      </right>
      <top/>
      <bottom style="thin">
        <color rgb="FFE0E0E0"/>
      </bottom>
      <diagonal/>
    </border>
    <border>
      <left style="thin">
        <color rgb="FF011771"/>
      </left>
      <right/>
      <top/>
      <bottom/>
      <diagonal/>
    </border>
    <border>
      <left/>
      <right style="thin">
        <color rgb="FF011771"/>
      </right>
      <top/>
      <bottom/>
      <diagonal/>
    </border>
    <border>
      <left style="thin">
        <color rgb="FF011771"/>
      </left>
      <right/>
      <top/>
      <bottom style="thin">
        <color rgb="FF011771"/>
      </bottom>
      <diagonal/>
    </border>
    <border>
      <left/>
      <right/>
      <top/>
      <bottom style="thin">
        <color rgb="FF011771"/>
      </bottom>
      <diagonal/>
    </border>
    <border>
      <left/>
      <right style="thin">
        <color rgb="FF011771"/>
      </right>
      <top/>
      <bottom style="thin">
        <color rgb="FF011771"/>
      </bottom>
      <diagonal/>
    </border>
    <border>
      <left/>
      <right/>
      <top style="thin">
        <color rgb="FF276221"/>
      </top>
      <bottom style="thin">
        <color rgb="FF276221"/>
      </bottom>
      <diagonal/>
    </border>
    <border>
      <left/>
      <right style="thin">
        <color rgb="FF276221"/>
      </right>
      <top style="thin">
        <color rgb="FF276221"/>
      </top>
      <bottom style="thin">
        <color rgb="FF276221"/>
      </bottom>
      <diagonal/>
    </border>
    <border>
      <left style="medium">
        <color rgb="FFE28C15"/>
      </left>
      <right style="medium">
        <color rgb="FFE28C15"/>
      </right>
      <top/>
      <bottom/>
      <diagonal/>
    </border>
    <border>
      <left style="medium">
        <color rgb="FFE28C15"/>
      </left>
      <right style="medium">
        <color rgb="FFE28C15"/>
      </right>
      <top/>
      <bottom style="medium">
        <color rgb="FFE28C15"/>
      </bottom>
      <diagonal/>
    </border>
    <border>
      <left/>
      <right/>
      <top/>
      <bottom style="thin">
        <color rgb="FFE28C15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medium">
        <color rgb="FF0DAFBE"/>
      </left>
      <right style="medium">
        <color rgb="FF0DAFBE"/>
      </right>
      <top style="medium">
        <color rgb="FF0DAFBE"/>
      </top>
      <bottom style="medium">
        <color rgb="FF0DAFBE"/>
      </bottom>
      <diagonal/>
    </border>
  </borders>
  <cellStyleXfs count="1">
    <xf numFmtId="0" fontId="0" fillId="0" borderId="0"/>
  </cellStyleXfs>
  <cellXfs count="170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5" fillId="10" borderId="2" xfId="0" applyFont="1" applyFill="1" applyBorder="1" applyAlignment="1">
      <alignment horizontal="left" vertical="center"/>
    </xf>
    <xf numFmtId="0" fontId="5" fillId="10" borderId="2" xfId="0" applyFont="1" applyFill="1" applyBorder="1" applyAlignment="1">
      <alignment horizontal="center" vertical="center"/>
    </xf>
    <xf numFmtId="9" fontId="5" fillId="10" borderId="2" xfId="0" applyNumberFormat="1" applyFont="1" applyFill="1" applyBorder="1" applyAlignment="1">
      <alignment horizontal="center" vertical="center"/>
    </xf>
    <xf numFmtId="0" fontId="5" fillId="11" borderId="2" xfId="0" applyFont="1" applyFill="1" applyBorder="1" applyAlignment="1">
      <alignment horizontal="left" vertical="center"/>
    </xf>
    <xf numFmtId="0" fontId="5" fillId="11" borderId="2" xfId="0" applyFont="1" applyFill="1" applyBorder="1" applyAlignment="1">
      <alignment horizontal="center" vertical="center"/>
    </xf>
    <xf numFmtId="9" fontId="5" fillId="11" borderId="2" xfId="0" applyNumberFormat="1" applyFont="1" applyFill="1" applyBorder="1" applyAlignment="1">
      <alignment horizontal="center" vertical="center"/>
    </xf>
    <xf numFmtId="0" fontId="5" fillId="8" borderId="2" xfId="0" applyFont="1" applyFill="1" applyBorder="1" applyAlignment="1">
      <alignment horizontal="left" vertical="center"/>
    </xf>
    <xf numFmtId="0" fontId="5" fillId="8" borderId="2" xfId="0" applyFont="1" applyFill="1" applyBorder="1" applyAlignment="1">
      <alignment horizontal="center" vertical="center"/>
    </xf>
    <xf numFmtId="9" fontId="5" fillId="8" borderId="2" xfId="0" applyNumberFormat="1" applyFont="1" applyFill="1" applyBorder="1" applyAlignment="1">
      <alignment horizontal="center" vertical="center"/>
    </xf>
    <xf numFmtId="0" fontId="5" fillId="12" borderId="2" xfId="0" applyFont="1" applyFill="1" applyBorder="1" applyAlignment="1">
      <alignment horizontal="left" vertical="center"/>
    </xf>
    <xf numFmtId="0" fontId="5" fillId="12" borderId="2" xfId="0" applyFont="1" applyFill="1" applyBorder="1" applyAlignment="1">
      <alignment horizontal="center" vertical="center"/>
    </xf>
    <xf numFmtId="9" fontId="5" fillId="12" borderId="2" xfId="0" applyNumberFormat="1" applyFont="1" applyFill="1" applyBorder="1" applyAlignment="1">
      <alignment horizontal="center" vertical="center"/>
    </xf>
    <xf numFmtId="0" fontId="3" fillId="6" borderId="3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5" fillId="3" borderId="2" xfId="0" applyFont="1" applyFill="1" applyBorder="1" applyAlignment="1">
      <alignment horizontal="center" vertical="center"/>
    </xf>
    <xf numFmtId="0" fontId="16" fillId="0" borderId="2" xfId="0" applyFont="1" applyBorder="1" applyAlignment="1">
      <alignment horizontal="left" vertical="center"/>
    </xf>
    <xf numFmtId="0" fontId="17" fillId="13" borderId="2" xfId="0" applyFont="1" applyFill="1" applyBorder="1" applyAlignment="1">
      <alignment horizontal="center" vertical="center"/>
    </xf>
    <xf numFmtId="0" fontId="18" fillId="14" borderId="2" xfId="0" applyFont="1" applyFill="1" applyBorder="1" applyAlignment="1">
      <alignment horizontal="center" vertical="center"/>
    </xf>
    <xf numFmtId="0" fontId="19" fillId="15" borderId="2" xfId="0" applyFont="1" applyFill="1" applyBorder="1" applyAlignment="1">
      <alignment horizontal="center" vertical="center"/>
    </xf>
    <xf numFmtId="0" fontId="20" fillId="0" borderId="0" xfId="0" applyFont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left" vertical="center" wrapText="1"/>
    </xf>
    <xf numFmtId="0" fontId="6" fillId="5" borderId="2" xfId="0" applyFont="1" applyFill="1" applyBorder="1" applyAlignment="1">
      <alignment horizontal="left" vertical="center" wrapText="1"/>
    </xf>
    <xf numFmtId="0" fontId="5" fillId="3" borderId="2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left" vertical="center" wrapText="1"/>
    </xf>
    <xf numFmtId="0" fontId="6" fillId="3" borderId="2" xfId="0" applyFont="1" applyFill="1" applyBorder="1" applyAlignment="1">
      <alignment horizontal="left" vertical="center" wrapText="1"/>
    </xf>
    <xf numFmtId="0" fontId="3" fillId="7" borderId="5" xfId="0" applyFont="1" applyFill="1" applyBorder="1" applyAlignment="1">
      <alignment horizontal="center" vertical="center" wrapText="1"/>
    </xf>
    <xf numFmtId="0" fontId="3" fillId="9" borderId="6" xfId="0" applyFont="1" applyFill="1" applyBorder="1" applyAlignment="1">
      <alignment horizontal="center" vertical="center" wrapText="1"/>
    </xf>
    <xf numFmtId="0" fontId="3" fillId="6" borderId="3" xfId="0" applyFont="1" applyFill="1" applyBorder="1" applyAlignment="1">
      <alignment horizontal="left" vertical="center"/>
    </xf>
    <xf numFmtId="0" fontId="3" fillId="6" borderId="3" xfId="0" applyFont="1" applyFill="1" applyBorder="1" applyAlignment="1">
      <alignment horizontal="center" vertical="center"/>
    </xf>
    <xf numFmtId="9" fontId="3" fillId="6" borderId="3" xfId="0" applyNumberFormat="1" applyFont="1" applyFill="1" applyBorder="1" applyAlignment="1">
      <alignment horizontal="center" vertical="center"/>
    </xf>
    <xf numFmtId="0" fontId="21" fillId="8" borderId="2" xfId="0" applyFont="1" applyFill="1" applyBorder="1" applyAlignment="1">
      <alignment horizontal="center" vertical="center"/>
    </xf>
    <xf numFmtId="0" fontId="21" fillId="12" borderId="2" xfId="0" applyFont="1" applyFill="1" applyBorder="1" applyAlignment="1">
      <alignment horizontal="center" vertical="center"/>
    </xf>
    <xf numFmtId="0" fontId="3" fillId="9" borderId="6" xfId="0" applyFont="1" applyFill="1" applyBorder="1" applyAlignment="1">
      <alignment horizontal="left" vertical="center"/>
    </xf>
    <xf numFmtId="0" fontId="3" fillId="9" borderId="6" xfId="0" applyFont="1" applyFill="1" applyBorder="1" applyAlignment="1">
      <alignment horizontal="center" vertical="center"/>
    </xf>
    <xf numFmtId="9" fontId="3" fillId="9" borderId="6" xfId="0" applyNumberFormat="1" applyFont="1" applyFill="1" applyBorder="1" applyAlignment="1">
      <alignment horizontal="center" vertical="center"/>
    </xf>
    <xf numFmtId="0" fontId="14" fillId="10" borderId="2" xfId="0" applyFont="1" applyFill="1" applyBorder="1" applyAlignment="1">
      <alignment horizontal="center" vertical="center"/>
    </xf>
    <xf numFmtId="0" fontId="0" fillId="2" borderId="2" xfId="0" applyFill="1" applyBorder="1"/>
    <xf numFmtId="0" fontId="0" fillId="0" borderId="2" xfId="0" applyBorder="1"/>
    <xf numFmtId="0" fontId="0" fillId="2" borderId="1" xfId="0" applyFill="1" applyBorder="1"/>
    <xf numFmtId="164" fontId="5" fillId="3" borderId="2" xfId="0" applyNumberFormat="1" applyFont="1" applyFill="1" applyBorder="1" applyAlignment="1">
      <alignment horizontal="center" vertical="center"/>
    </xf>
    <xf numFmtId="164" fontId="5" fillId="5" borderId="2" xfId="0" applyNumberFormat="1" applyFont="1" applyFill="1" applyBorder="1" applyAlignment="1">
      <alignment horizontal="center" vertical="center"/>
    </xf>
    <xf numFmtId="0" fontId="0" fillId="6" borderId="2" xfId="0" applyFill="1" applyBorder="1"/>
    <xf numFmtId="0" fontId="0" fillId="6" borderId="1" xfId="0" applyFill="1" applyBorder="1"/>
    <xf numFmtId="0" fontId="21" fillId="15" borderId="2" xfId="0" applyFont="1" applyFill="1" applyBorder="1" applyAlignment="1">
      <alignment horizontal="center" vertical="center"/>
    </xf>
    <xf numFmtId="0" fontId="14" fillId="10" borderId="0" xfId="0" applyFont="1" applyFill="1" applyAlignment="1">
      <alignment horizontal="center" vertical="center"/>
    </xf>
    <xf numFmtId="0" fontId="26" fillId="9" borderId="6" xfId="0" applyFont="1" applyFill="1" applyBorder="1" applyAlignment="1">
      <alignment horizontal="center" vertical="center"/>
    </xf>
    <xf numFmtId="0" fontId="16" fillId="12" borderId="2" xfId="0" applyFont="1" applyFill="1" applyBorder="1" applyAlignment="1">
      <alignment horizontal="left" vertical="center"/>
    </xf>
    <xf numFmtId="0" fontId="37" fillId="12" borderId="2" xfId="0" applyFont="1" applyFill="1" applyBorder="1" applyAlignment="1">
      <alignment horizontal="center" vertical="center"/>
    </xf>
    <xf numFmtId="0" fontId="16" fillId="3" borderId="2" xfId="0" applyFont="1" applyFill="1" applyBorder="1" applyAlignment="1">
      <alignment horizontal="left" vertical="center"/>
    </xf>
    <xf numFmtId="0" fontId="37" fillId="3" borderId="2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/>
    </xf>
    <xf numFmtId="0" fontId="16" fillId="3" borderId="2" xfId="0" applyFont="1" applyFill="1" applyBorder="1" applyAlignment="1">
      <alignment horizontal="left" vertical="center" wrapText="1"/>
    </xf>
    <xf numFmtId="0" fontId="36" fillId="3" borderId="2" xfId="0" applyFont="1" applyFill="1" applyBorder="1" applyAlignment="1">
      <alignment horizontal="center" vertical="center"/>
    </xf>
    <xf numFmtId="0" fontId="16" fillId="5" borderId="2" xfId="0" applyFont="1" applyFill="1" applyBorder="1" applyAlignment="1">
      <alignment horizontal="left" vertical="center" wrapText="1"/>
    </xf>
    <xf numFmtId="0" fontId="36" fillId="5" borderId="2" xfId="0" applyFont="1" applyFill="1" applyBorder="1" applyAlignment="1">
      <alignment horizontal="center" vertical="center"/>
    </xf>
    <xf numFmtId="0" fontId="0" fillId="10" borderId="1" xfId="0" applyFill="1" applyBorder="1"/>
    <xf numFmtId="0" fontId="35" fillId="6" borderId="2" xfId="0" applyFont="1" applyFill="1" applyBorder="1" applyAlignment="1">
      <alignment horizontal="center" vertical="center"/>
    </xf>
    <xf numFmtId="0" fontId="35" fillId="2" borderId="2" xfId="0" applyFont="1" applyFill="1" applyBorder="1" applyAlignment="1">
      <alignment horizontal="center" vertical="center"/>
    </xf>
    <xf numFmtId="0" fontId="0" fillId="19" borderId="48" xfId="0" applyFill="1" applyBorder="1"/>
    <xf numFmtId="165" fontId="40" fillId="5" borderId="48" xfId="0" applyNumberFormat="1" applyFont="1" applyFill="1" applyBorder="1" applyAlignment="1">
      <alignment horizontal="center" vertical="center"/>
    </xf>
    <xf numFmtId="0" fontId="0" fillId="8" borderId="5" xfId="0" applyFill="1" applyBorder="1" applyAlignment="1">
      <alignment horizontal="center" vertical="center"/>
    </xf>
    <xf numFmtId="0" fontId="41" fillId="8" borderId="5" xfId="0" applyFont="1" applyFill="1" applyBorder="1" applyAlignment="1">
      <alignment horizontal="left" vertical="center"/>
    </xf>
    <xf numFmtId="0" fontId="42" fillId="8" borderId="5" xfId="0" applyFont="1" applyFill="1" applyBorder="1" applyAlignment="1">
      <alignment horizontal="center" vertical="center"/>
    </xf>
    <xf numFmtId="164" fontId="34" fillId="18" borderId="30" xfId="0" applyNumberFormat="1" applyFont="1" applyFill="1" applyBorder="1" applyAlignment="1">
      <alignment horizontal="center" vertical="center"/>
    </xf>
    <xf numFmtId="0" fontId="43" fillId="8" borderId="5" xfId="0" applyFont="1" applyFill="1" applyBorder="1" applyAlignment="1">
      <alignment horizontal="center" vertical="center"/>
    </xf>
    <xf numFmtId="0" fontId="0" fillId="5" borderId="48" xfId="0" applyFill="1" applyBorder="1"/>
    <xf numFmtId="0" fontId="44" fillId="19" borderId="2" xfId="0" applyFont="1" applyFill="1" applyBorder="1" applyAlignment="1">
      <alignment horizontal="center" vertical="center"/>
    </xf>
    <xf numFmtId="164" fontId="45" fillId="3" borderId="2" xfId="0" applyNumberFormat="1" applyFont="1" applyFill="1" applyBorder="1" applyAlignment="1">
      <alignment horizontal="center" vertical="center"/>
    </xf>
    <xf numFmtId="0" fontId="0" fillId="3" borderId="48" xfId="0" applyFill="1" applyBorder="1" applyAlignment="1">
      <alignment horizontal="center" vertical="center"/>
    </xf>
    <xf numFmtId="164" fontId="45" fillId="5" borderId="2" xfId="0" applyNumberFormat="1" applyFont="1" applyFill="1" applyBorder="1" applyAlignment="1">
      <alignment horizontal="center" vertical="center"/>
    </xf>
    <xf numFmtId="0" fontId="15" fillId="5" borderId="2" xfId="0" applyFont="1" applyFill="1" applyBorder="1" applyAlignment="1">
      <alignment horizontal="center" vertical="center"/>
    </xf>
    <xf numFmtId="0" fontId="0" fillId="5" borderId="48" xfId="0" applyFill="1" applyBorder="1" applyAlignment="1">
      <alignment horizontal="center" vertical="center"/>
    </xf>
    <xf numFmtId="0" fontId="11" fillId="2" borderId="1" xfId="0" applyFont="1" applyFill="1" applyBorder="1" applyAlignment="1">
      <alignment horizontal="left" vertical="center" wrapText="1"/>
    </xf>
    <xf numFmtId="0" fontId="0" fillId="0" borderId="11" xfId="0" applyBorder="1"/>
    <xf numFmtId="0" fontId="0" fillId="0" borderId="12" xfId="0" applyBorder="1"/>
    <xf numFmtId="0" fontId="22" fillId="6" borderId="3" xfId="0" applyFont="1" applyFill="1" applyBorder="1" applyAlignment="1">
      <alignment horizontal="left" vertical="center" wrapText="1"/>
    </xf>
    <xf numFmtId="0" fontId="0" fillId="0" borderId="14" xfId="0" applyBorder="1"/>
    <xf numFmtId="0" fontId="0" fillId="0" borderId="15" xfId="0" applyBorder="1"/>
    <xf numFmtId="0" fontId="16" fillId="0" borderId="2" xfId="0" applyFont="1" applyBorder="1" applyAlignment="1">
      <alignment horizontal="left" vertical="center"/>
    </xf>
    <xf numFmtId="0" fontId="0" fillId="0" borderId="13" xfId="0" applyBorder="1"/>
    <xf numFmtId="0" fontId="0" fillId="0" borderId="7" xfId="0" applyBorder="1"/>
    <xf numFmtId="0" fontId="12" fillId="10" borderId="24" xfId="0" applyFont="1" applyFill="1" applyBorder="1" applyAlignment="1">
      <alignment horizontal="center" vertical="center" wrapText="1"/>
    </xf>
    <xf numFmtId="0" fontId="0" fillId="0" borderId="8" xfId="0" applyBorder="1"/>
    <xf numFmtId="0" fontId="13" fillId="11" borderId="3" xfId="0" applyFont="1" applyFill="1" applyBorder="1" applyAlignment="1">
      <alignment horizontal="center" vertical="center" wrapText="1"/>
    </xf>
    <xf numFmtId="0" fontId="22" fillId="9" borderId="6" xfId="0" applyFont="1" applyFill="1" applyBorder="1" applyAlignment="1">
      <alignment horizontal="left" vertical="center" wrapText="1"/>
    </xf>
    <xf numFmtId="0" fontId="0" fillId="0" borderId="20" xfId="0" applyBorder="1"/>
    <xf numFmtId="0" fontId="0" fillId="0" borderId="21" xfId="0" applyBorder="1"/>
    <xf numFmtId="0" fontId="15" fillId="3" borderId="2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6" borderId="3" xfId="0" applyFont="1" applyFill="1" applyBorder="1" applyAlignment="1">
      <alignment horizontal="center" vertical="center" wrapText="1"/>
    </xf>
    <xf numFmtId="0" fontId="23" fillId="12" borderId="6" xfId="0" applyFont="1" applyFill="1" applyBorder="1" applyAlignment="1">
      <alignment horizontal="left" vertical="center" wrapText="1"/>
    </xf>
    <xf numFmtId="0" fontId="20" fillId="0" borderId="0" xfId="0" applyFont="1" applyAlignment="1">
      <alignment horizontal="center" vertical="center" wrapText="1"/>
    </xf>
    <xf numFmtId="0" fontId="0" fillId="0" borderId="0" xfId="0"/>
    <xf numFmtId="0" fontId="14" fillId="10" borderId="2" xfId="0" applyFont="1" applyFill="1" applyBorder="1"/>
    <xf numFmtId="0" fontId="18" fillId="14" borderId="2" xfId="0" applyFont="1" applyFill="1" applyBorder="1" applyAlignment="1">
      <alignment horizontal="center" vertical="center"/>
    </xf>
    <xf numFmtId="0" fontId="19" fillId="15" borderId="2" xfId="0" applyFont="1" applyFill="1" applyBorder="1" applyAlignment="1">
      <alignment horizontal="center" vertical="center"/>
    </xf>
    <xf numFmtId="0" fontId="17" fillId="13" borderId="2" xfId="0" applyFont="1" applyFill="1" applyBorder="1" applyAlignment="1">
      <alignment horizontal="center" vertical="center"/>
    </xf>
    <xf numFmtId="0" fontId="0" fillId="9" borderId="6" xfId="0" applyFill="1" applyBorder="1"/>
    <xf numFmtId="0" fontId="31" fillId="3" borderId="27" xfId="0" applyFont="1" applyFill="1" applyBorder="1" applyAlignment="1">
      <alignment horizontal="center" vertical="center"/>
    </xf>
    <xf numFmtId="0" fontId="0" fillId="0" borderId="33" xfId="0" applyBorder="1"/>
    <xf numFmtId="0" fontId="0" fillId="0" borderId="34" xfId="0" applyBorder="1"/>
    <xf numFmtId="0" fontId="0" fillId="0" borderId="35" xfId="0" applyBorder="1"/>
    <xf numFmtId="0" fontId="0" fillId="0" borderId="36" xfId="0" applyBorder="1"/>
    <xf numFmtId="0" fontId="0" fillId="0" borderId="37" xfId="0" applyBorder="1"/>
    <xf numFmtId="0" fontId="26" fillId="6" borderId="3" xfId="0" applyFont="1" applyFill="1" applyBorder="1" applyAlignment="1">
      <alignment horizontal="left" vertical="center" wrapText="1"/>
    </xf>
    <xf numFmtId="0" fontId="26" fillId="17" borderId="29" xfId="0" applyFont="1" applyFill="1" applyBorder="1" applyAlignment="1">
      <alignment horizontal="left" vertical="center" wrapText="1"/>
    </xf>
    <xf numFmtId="0" fontId="0" fillId="0" borderId="31" xfId="0" applyBorder="1"/>
    <xf numFmtId="0" fontId="0" fillId="0" borderId="32" xfId="0" applyBorder="1"/>
    <xf numFmtId="0" fontId="0" fillId="6" borderId="3" xfId="0" applyFill="1" applyBorder="1"/>
    <xf numFmtId="9" fontId="26" fillId="9" borderId="6" xfId="0" applyNumberFormat="1" applyFont="1" applyFill="1" applyBorder="1" applyAlignment="1">
      <alignment horizontal="left" vertical="center" wrapText="1"/>
    </xf>
    <xf numFmtId="0" fontId="0" fillId="7" borderId="5" xfId="0" applyFill="1" applyBorder="1"/>
    <xf numFmtId="0" fontId="0" fillId="0" borderId="17" xfId="0" applyBorder="1"/>
    <xf numFmtId="0" fontId="0" fillId="0" borderId="18" xfId="0" applyBorder="1"/>
    <xf numFmtId="9" fontId="32" fillId="3" borderId="27" xfId="0" applyNumberFormat="1" applyFont="1" applyFill="1" applyBorder="1" applyAlignment="1">
      <alignment horizontal="center" vertical="center"/>
    </xf>
    <xf numFmtId="0" fontId="0" fillId="17" borderId="29" xfId="0" applyFill="1" applyBorder="1"/>
    <xf numFmtId="0" fontId="24" fillId="2" borderId="1" xfId="0" applyFont="1" applyFill="1" applyBorder="1" applyAlignment="1">
      <alignment horizontal="left" vertical="center" wrapText="1"/>
    </xf>
    <xf numFmtId="0" fontId="0" fillId="0" borderId="9" xfId="0" applyBorder="1"/>
    <xf numFmtId="0" fontId="0" fillId="0" borderId="10" xfId="0" applyBorder="1"/>
    <xf numFmtId="0" fontId="0" fillId="0" borderId="38" xfId="0" applyBorder="1"/>
    <xf numFmtId="0" fontId="0" fillId="0" borderId="39" xfId="0" applyBorder="1"/>
    <xf numFmtId="0" fontId="0" fillId="0" borderId="40" xfId="0" applyBorder="1"/>
    <xf numFmtId="0" fontId="0" fillId="0" borderId="41" xfId="0" applyBorder="1"/>
    <xf numFmtId="0" fontId="0" fillId="0" borderId="42" xfId="0" applyBorder="1"/>
    <xf numFmtId="0" fontId="0" fillId="16" borderId="28" xfId="0" applyFill="1" applyBorder="1"/>
    <xf numFmtId="0" fontId="0" fillId="0" borderId="43" xfId="0" applyBorder="1"/>
    <xf numFmtId="0" fontId="0" fillId="0" borderId="44" xfId="0" applyBorder="1"/>
    <xf numFmtId="0" fontId="13" fillId="18" borderId="30" xfId="0" applyFont="1" applyFill="1" applyBorder="1" applyAlignment="1">
      <alignment horizontal="center" vertical="center"/>
    </xf>
    <xf numFmtId="0" fontId="0" fillId="0" borderId="45" xfId="0" applyBorder="1"/>
    <xf numFmtId="0" fontId="0" fillId="0" borderId="46" xfId="0" applyBorder="1"/>
    <xf numFmtId="0" fontId="29" fillId="3" borderId="27" xfId="0" applyFont="1" applyFill="1" applyBorder="1" applyAlignment="1">
      <alignment horizontal="center" vertical="center"/>
    </xf>
    <xf numFmtId="0" fontId="26" fillId="7" borderId="5" xfId="0" applyFont="1" applyFill="1" applyBorder="1" applyAlignment="1">
      <alignment horizontal="left" vertical="center" wrapText="1"/>
    </xf>
    <xf numFmtId="0" fontId="26" fillId="16" borderId="28" xfId="0" applyFont="1" applyFill="1" applyBorder="1" applyAlignment="1">
      <alignment horizontal="left" vertical="center" wrapText="1"/>
    </xf>
    <xf numFmtId="0" fontId="25" fillId="10" borderId="4" xfId="0" applyFont="1" applyFill="1" applyBorder="1" applyAlignment="1">
      <alignment horizontal="center" vertical="center" wrapText="1"/>
    </xf>
    <xf numFmtId="0" fontId="27" fillId="3" borderId="27" xfId="0" applyFont="1" applyFill="1" applyBorder="1" applyAlignment="1">
      <alignment horizontal="center" vertical="center"/>
    </xf>
    <xf numFmtId="0" fontId="0" fillId="2" borderId="1" xfId="0" applyFill="1" applyBorder="1"/>
    <xf numFmtId="0" fontId="26" fillId="2" borderId="1" xfId="0" applyFont="1" applyFill="1" applyBorder="1" applyAlignment="1">
      <alignment horizontal="left" vertical="center" wrapText="1"/>
    </xf>
    <xf numFmtId="0" fontId="30" fillId="3" borderId="27" xfId="0" applyFont="1" applyFill="1" applyBorder="1" applyAlignment="1">
      <alignment horizontal="center" vertical="center"/>
    </xf>
    <xf numFmtId="0" fontId="28" fillId="3" borderId="27" xfId="0" applyFont="1" applyFill="1" applyBorder="1" applyAlignment="1">
      <alignment horizontal="center" vertical="center"/>
    </xf>
    <xf numFmtId="0" fontId="47" fillId="0" borderId="2" xfId="0" applyFont="1" applyBorder="1" applyAlignment="1">
      <alignment horizontal="left" vertical="center"/>
    </xf>
    <xf numFmtId="0" fontId="34" fillId="10" borderId="49" xfId="0" applyFont="1" applyFill="1" applyBorder="1" applyAlignment="1">
      <alignment horizontal="center" vertical="center"/>
    </xf>
    <xf numFmtId="0" fontId="49" fillId="13" borderId="2" xfId="0" applyFont="1" applyFill="1" applyBorder="1" applyAlignment="1">
      <alignment horizontal="left" vertical="center"/>
    </xf>
    <xf numFmtId="0" fontId="50" fillId="8" borderId="2" xfId="0" applyFont="1" applyFill="1" applyBorder="1" applyAlignment="1">
      <alignment horizontal="left" vertical="center"/>
    </xf>
    <xf numFmtId="0" fontId="2" fillId="10" borderId="4" xfId="0" applyFont="1" applyFill="1" applyBorder="1" applyAlignment="1">
      <alignment horizontal="center" vertical="center" wrapText="1"/>
    </xf>
    <xf numFmtId="0" fontId="35" fillId="7" borderId="2" xfId="0" applyFont="1" applyFill="1" applyBorder="1" applyAlignment="1">
      <alignment horizontal="left" vertical="center"/>
    </xf>
    <xf numFmtId="0" fontId="39" fillId="8" borderId="47" xfId="0" applyFont="1" applyFill="1" applyBorder="1" applyAlignment="1">
      <alignment horizontal="left" vertical="center" wrapText="1"/>
    </xf>
    <xf numFmtId="0" fontId="33" fillId="2" borderId="1" xfId="0" applyFont="1" applyFill="1" applyBorder="1" applyAlignment="1">
      <alignment horizontal="left" vertical="center" wrapText="1"/>
    </xf>
    <xf numFmtId="0" fontId="48" fillId="14" borderId="2" xfId="0" applyFont="1" applyFill="1" applyBorder="1" applyAlignment="1">
      <alignment horizontal="left" vertical="center"/>
    </xf>
    <xf numFmtId="164" fontId="38" fillId="18" borderId="30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 wrapText="1"/>
    </xf>
    <xf numFmtId="0" fontId="46" fillId="18" borderId="2" xfId="0" applyFont="1" applyFill="1" applyBorder="1" applyAlignment="1">
      <alignment horizontal="left" vertical="center"/>
    </xf>
    <xf numFmtId="0" fontId="34" fillId="11" borderId="3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3" borderId="23" xfId="0" applyFont="1" applyFill="1" applyBorder="1" applyAlignment="1">
      <alignment horizontal="center" vertical="center" wrapText="1"/>
    </xf>
    <xf numFmtId="0" fontId="0" fillId="0" borderId="16" xfId="0" applyBorder="1"/>
    <xf numFmtId="0" fontId="3" fillId="6" borderId="3" xfId="0" applyFont="1" applyFill="1" applyBorder="1" applyAlignment="1">
      <alignment horizontal="left" vertical="center" wrapText="1"/>
    </xf>
    <xf numFmtId="0" fontId="7" fillId="3" borderId="24" xfId="0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center" wrapText="1"/>
    </xf>
    <xf numFmtId="0" fontId="9" fillId="8" borderId="5" xfId="0" applyFont="1" applyFill="1" applyBorder="1" applyAlignment="1">
      <alignment horizontal="left" vertical="center" wrapText="1"/>
    </xf>
    <xf numFmtId="0" fontId="8" fillId="3" borderId="25" xfId="0" applyFont="1" applyFill="1" applyBorder="1" applyAlignment="1">
      <alignment horizontal="center" vertical="center" wrapText="1"/>
    </xf>
    <xf numFmtId="0" fontId="0" fillId="0" borderId="19" xfId="0" applyBorder="1"/>
    <xf numFmtId="0" fontId="1" fillId="7" borderId="5" xfId="0" applyFont="1" applyFill="1" applyBorder="1" applyAlignment="1">
      <alignment horizontal="center" vertical="center" wrapText="1"/>
    </xf>
    <xf numFmtId="0" fontId="3" fillId="7" borderId="5" xfId="0" applyFont="1" applyFill="1" applyBorder="1" applyAlignment="1">
      <alignment horizontal="left" vertical="center" wrapText="1"/>
    </xf>
    <xf numFmtId="0" fontId="3" fillId="9" borderId="6" xfId="0" applyFont="1" applyFill="1" applyBorder="1" applyAlignment="1">
      <alignment horizontal="left" vertical="center" wrapText="1"/>
    </xf>
    <xf numFmtId="0" fontId="10" fillId="3" borderId="26" xfId="0" applyFont="1" applyFill="1" applyBorder="1" applyAlignment="1">
      <alignment horizontal="center" vertical="center" wrapText="1"/>
    </xf>
    <xf numFmtId="0" fontId="0" fillId="0" borderId="22" xfId="0" applyBorder="1"/>
    <xf numFmtId="0" fontId="1" fillId="9" borderId="6" xfId="0" applyFont="1" applyFill="1" applyBorder="1" applyAlignment="1">
      <alignment horizontal="center" vertical="center" wrapText="1"/>
    </xf>
  </cellXfs>
  <cellStyles count="1">
    <cellStyle name="Normal" xfId="0" builtinId="0"/>
  </cellStyles>
  <dxfs count="116">
    <dxf>
      <font>
        <sz val="10"/>
        <color rgb="FF595959"/>
        <name val="Calibri"/>
      </font>
      <fill>
        <patternFill patternType="solid">
          <fgColor rgb="FFD9D9D9"/>
        </patternFill>
      </fill>
    </dxf>
    <dxf>
      <font>
        <sz val="10"/>
        <color rgb="FF9C0006"/>
        <name val="Calibri"/>
      </font>
      <fill>
        <patternFill patternType="solid">
          <fgColor rgb="FFFFC7CE"/>
        </patternFill>
      </fill>
    </dxf>
    <dxf>
      <font>
        <sz val="10"/>
        <color rgb="FF276221"/>
        <name val="Calibri"/>
      </font>
      <fill>
        <patternFill patternType="solid">
          <fgColor rgb="FFC6EFCE"/>
        </patternFill>
      </fill>
    </dxf>
    <dxf>
      <font>
        <sz val="10"/>
        <color rgb="FF595959"/>
        <name val="Calibri"/>
      </font>
      <fill>
        <patternFill patternType="solid">
          <fgColor rgb="FFD9D9D9"/>
        </patternFill>
      </fill>
    </dxf>
    <dxf>
      <font>
        <sz val="10"/>
        <color rgb="FF9C0006"/>
        <name val="Calibri"/>
      </font>
      <fill>
        <patternFill patternType="solid">
          <fgColor rgb="FFFFC7CE"/>
        </patternFill>
      </fill>
    </dxf>
    <dxf>
      <font>
        <sz val="10"/>
        <color rgb="FF276221"/>
        <name val="Calibri"/>
      </font>
      <fill>
        <patternFill patternType="solid">
          <fgColor rgb="FFC6EFCE"/>
        </patternFill>
      </fill>
    </dxf>
    <dxf>
      <font>
        <sz val="10"/>
        <color rgb="FF595959"/>
        <name val="Calibri"/>
      </font>
      <fill>
        <patternFill patternType="solid">
          <fgColor rgb="FFD9D9D9"/>
        </patternFill>
      </fill>
    </dxf>
    <dxf>
      <font>
        <sz val="10"/>
        <color rgb="FF9C0006"/>
        <name val="Calibri"/>
      </font>
      <fill>
        <patternFill patternType="solid">
          <fgColor rgb="FFFFC7CE"/>
        </patternFill>
      </fill>
    </dxf>
    <dxf>
      <font>
        <sz val="10"/>
        <color rgb="FF276221"/>
        <name val="Calibri"/>
      </font>
      <fill>
        <patternFill patternType="solid">
          <fgColor rgb="FFC6EFCE"/>
        </patternFill>
      </fill>
    </dxf>
    <dxf>
      <font>
        <sz val="10"/>
        <color rgb="FF595959"/>
        <name val="Calibri"/>
      </font>
      <fill>
        <patternFill patternType="solid">
          <fgColor rgb="FFD9D9D9"/>
        </patternFill>
      </fill>
    </dxf>
    <dxf>
      <font>
        <sz val="10"/>
        <color rgb="FF9C0006"/>
        <name val="Calibri"/>
      </font>
      <fill>
        <patternFill patternType="solid">
          <fgColor rgb="FFFFC7CE"/>
        </patternFill>
      </fill>
    </dxf>
    <dxf>
      <font>
        <sz val="10"/>
        <color rgb="FF276221"/>
        <name val="Calibri"/>
      </font>
      <fill>
        <patternFill patternType="solid">
          <fgColor rgb="FFC6EFCE"/>
        </patternFill>
      </fill>
    </dxf>
    <dxf>
      <font>
        <sz val="10"/>
        <color rgb="FF595959"/>
        <name val="Calibri"/>
      </font>
      <fill>
        <patternFill patternType="solid">
          <fgColor rgb="FFD9D9D9"/>
        </patternFill>
      </fill>
    </dxf>
    <dxf>
      <font>
        <sz val="10"/>
        <color rgb="FF9C0006"/>
        <name val="Calibri"/>
      </font>
      <fill>
        <patternFill patternType="solid">
          <fgColor rgb="FFFFC7CE"/>
        </patternFill>
      </fill>
    </dxf>
    <dxf>
      <font>
        <sz val="10"/>
        <color rgb="FF276221"/>
        <name val="Calibri"/>
      </font>
      <fill>
        <patternFill patternType="solid">
          <fgColor rgb="FFC6EFCE"/>
        </patternFill>
      </fill>
    </dxf>
    <dxf>
      <font>
        <sz val="10"/>
        <color rgb="FF595959"/>
        <name val="Calibri"/>
      </font>
      <fill>
        <patternFill patternType="solid">
          <fgColor rgb="FFD9D9D9"/>
        </patternFill>
      </fill>
    </dxf>
    <dxf>
      <font>
        <sz val="10"/>
        <color rgb="FF9C0006"/>
        <name val="Calibri"/>
      </font>
      <fill>
        <patternFill patternType="solid">
          <fgColor rgb="FFFFC7CE"/>
        </patternFill>
      </fill>
    </dxf>
    <dxf>
      <font>
        <sz val="10"/>
        <color rgb="FF276221"/>
        <name val="Calibri"/>
      </font>
      <fill>
        <patternFill patternType="solid">
          <fgColor rgb="FFC6EFCE"/>
        </patternFill>
      </fill>
    </dxf>
    <dxf>
      <font>
        <b/>
        <sz val="10"/>
        <color rgb="FF011771"/>
        <name val="Calibri"/>
      </font>
      <fill>
        <patternFill patternType="solid">
          <fgColor rgb="FFD5F3F6"/>
        </patternFill>
      </fill>
    </dxf>
    <dxf>
      <font>
        <sz val="10"/>
        <color rgb="FF595959"/>
        <name val="Calibri"/>
      </font>
      <fill>
        <patternFill patternType="solid">
          <fgColor rgb="FFD9D9D9"/>
        </patternFill>
      </fill>
    </dxf>
    <dxf>
      <font>
        <sz val="10"/>
        <color rgb="FF9C0006"/>
        <name val="Calibri"/>
      </font>
      <fill>
        <patternFill patternType="solid">
          <fgColor rgb="FFFFC7CE"/>
        </patternFill>
      </fill>
    </dxf>
    <dxf>
      <font>
        <sz val="10"/>
        <color rgb="FF276221"/>
        <name val="Calibri"/>
      </font>
      <fill>
        <patternFill patternType="solid">
          <fgColor rgb="FFC6EFCE"/>
        </patternFill>
      </fill>
    </dxf>
    <dxf>
      <font>
        <sz val="10"/>
        <color rgb="FF595959"/>
        <name val="Calibri"/>
      </font>
      <fill>
        <patternFill patternType="solid">
          <fgColor rgb="FFD9D9D9"/>
        </patternFill>
      </fill>
    </dxf>
    <dxf>
      <font>
        <sz val="10"/>
        <color rgb="FF9C0006"/>
        <name val="Calibri"/>
      </font>
      <fill>
        <patternFill patternType="solid">
          <fgColor rgb="FFFFC7CE"/>
        </patternFill>
      </fill>
    </dxf>
    <dxf>
      <font>
        <sz val="10"/>
        <color rgb="FF276221"/>
        <name val="Calibri"/>
      </font>
      <fill>
        <patternFill patternType="solid">
          <fgColor rgb="FFC6EFCE"/>
        </patternFill>
      </fill>
    </dxf>
    <dxf>
      <font>
        <b/>
        <sz val="10"/>
        <color rgb="FF011771"/>
        <name val="Calibri"/>
      </font>
      <fill>
        <patternFill patternType="solid">
          <fgColor rgb="FFD5F3F6"/>
        </patternFill>
      </fill>
    </dxf>
    <dxf>
      <font>
        <sz val="10"/>
        <color rgb="FF595959"/>
        <name val="Calibri"/>
      </font>
      <fill>
        <patternFill patternType="solid">
          <fgColor rgb="FFD9D9D9"/>
        </patternFill>
      </fill>
    </dxf>
    <dxf>
      <font>
        <sz val="10"/>
        <color rgb="FF9C0006"/>
        <name val="Calibri"/>
      </font>
      <fill>
        <patternFill patternType="solid">
          <fgColor rgb="FFFFC7CE"/>
        </patternFill>
      </fill>
    </dxf>
    <dxf>
      <font>
        <sz val="10"/>
        <color rgb="FF276221"/>
        <name val="Calibri"/>
      </font>
      <fill>
        <patternFill patternType="solid">
          <fgColor rgb="FFC6EFCE"/>
        </patternFill>
      </fill>
    </dxf>
    <dxf>
      <font>
        <sz val="10"/>
        <color rgb="FF595959"/>
        <name val="Calibri"/>
      </font>
      <fill>
        <patternFill patternType="solid">
          <fgColor rgb="FFD9D9D9"/>
        </patternFill>
      </fill>
    </dxf>
    <dxf>
      <font>
        <sz val="10"/>
        <color rgb="FF9C0006"/>
        <name val="Calibri"/>
      </font>
      <fill>
        <patternFill patternType="solid">
          <fgColor rgb="FFFFC7CE"/>
        </patternFill>
      </fill>
    </dxf>
    <dxf>
      <font>
        <sz val="10"/>
        <color rgb="FF276221"/>
        <name val="Calibri"/>
      </font>
      <fill>
        <patternFill patternType="solid">
          <fgColor rgb="FFC6EFCE"/>
        </patternFill>
      </fill>
    </dxf>
    <dxf>
      <font>
        <b/>
        <sz val="10"/>
        <color rgb="FF011771"/>
        <name val="Calibri"/>
      </font>
      <fill>
        <patternFill patternType="solid">
          <fgColor rgb="FFD5F3F6"/>
        </patternFill>
      </fill>
    </dxf>
    <dxf>
      <font>
        <sz val="10"/>
        <color rgb="FF595959"/>
        <name val="Calibri"/>
      </font>
      <fill>
        <patternFill patternType="solid">
          <fgColor rgb="FFD9D9D9"/>
        </patternFill>
      </fill>
    </dxf>
    <dxf>
      <font>
        <sz val="10"/>
        <color rgb="FF9C0006"/>
        <name val="Calibri"/>
      </font>
      <fill>
        <patternFill patternType="solid">
          <fgColor rgb="FFFFC7CE"/>
        </patternFill>
      </fill>
    </dxf>
    <dxf>
      <font>
        <sz val="10"/>
        <color rgb="FF276221"/>
        <name val="Calibri"/>
      </font>
      <fill>
        <patternFill patternType="solid">
          <fgColor rgb="FFC6EFCE"/>
        </patternFill>
      </fill>
    </dxf>
    <dxf>
      <font>
        <sz val="10"/>
        <color rgb="FF595959"/>
        <name val="Calibri"/>
      </font>
      <fill>
        <patternFill patternType="solid">
          <fgColor rgb="FFD9D9D9"/>
        </patternFill>
      </fill>
    </dxf>
    <dxf>
      <font>
        <sz val="10"/>
        <color rgb="FF9C0006"/>
        <name val="Calibri"/>
      </font>
      <fill>
        <patternFill patternType="solid">
          <fgColor rgb="FFFFC7CE"/>
        </patternFill>
      </fill>
    </dxf>
    <dxf>
      <font>
        <sz val="10"/>
        <color rgb="FF276221"/>
        <name val="Calibri"/>
      </font>
      <fill>
        <patternFill patternType="solid">
          <fgColor rgb="FFC6EFCE"/>
        </patternFill>
      </fill>
    </dxf>
    <dxf>
      <font>
        <sz val="8"/>
        <color rgb="FF7F6000"/>
        <name val="Calibri"/>
      </font>
      <fill>
        <patternFill patternType="solid">
          <fgColor rgb="FFFFF2CC"/>
        </patternFill>
      </fill>
    </dxf>
    <dxf>
      <font>
        <sz val="8"/>
        <color rgb="FF9C0006"/>
        <name val="Calibri"/>
      </font>
      <fill>
        <patternFill patternType="solid">
          <fgColor rgb="FFFFC7CE"/>
        </patternFill>
      </fill>
    </dxf>
    <dxf>
      <font>
        <sz val="8"/>
        <color rgb="FF276221"/>
        <name val="Calibri"/>
      </font>
      <fill>
        <patternFill patternType="solid">
          <fgColor rgb="FFC6EFCE"/>
        </patternFill>
      </fill>
    </dxf>
    <dxf>
      <font>
        <sz val="7"/>
        <color rgb="FFFFFFFF"/>
        <name val="Calibri"/>
      </font>
      <fill>
        <patternFill patternType="solid">
          <fgColor rgb="FFE28C15"/>
        </patternFill>
      </fill>
    </dxf>
    <dxf>
      <font>
        <sz val="8"/>
        <color rgb="FF7F6000"/>
        <name val="Calibri"/>
      </font>
      <fill>
        <patternFill patternType="solid">
          <fgColor rgb="FFFFF2CC"/>
        </patternFill>
      </fill>
    </dxf>
    <dxf>
      <font>
        <sz val="8"/>
        <color rgb="FF9C0006"/>
        <name val="Calibri"/>
      </font>
      <fill>
        <patternFill patternType="solid">
          <fgColor rgb="FFFFC7CE"/>
        </patternFill>
      </fill>
    </dxf>
    <dxf>
      <font>
        <sz val="8"/>
        <color rgb="FF276221"/>
        <name val="Calibri"/>
      </font>
      <fill>
        <patternFill patternType="solid">
          <fgColor rgb="FFC6EFCE"/>
        </patternFill>
      </fill>
    </dxf>
    <dxf>
      <font>
        <sz val="7"/>
        <color rgb="FFFFFFFF"/>
        <name val="Calibri"/>
      </font>
      <fill>
        <patternFill patternType="solid">
          <fgColor rgb="FFE28C15"/>
        </patternFill>
      </fill>
    </dxf>
    <dxf>
      <font>
        <sz val="8"/>
        <color rgb="FF276221"/>
        <name val="Calibri"/>
      </font>
      <fill>
        <patternFill patternType="solid">
          <fgColor rgb="FFC6EFCE"/>
        </patternFill>
      </fill>
    </dxf>
    <dxf>
      <font>
        <sz val="8"/>
        <color rgb="FF7F6000"/>
        <name val="Calibri"/>
      </font>
      <fill>
        <patternFill patternType="solid">
          <fgColor rgb="FFFFF2CC"/>
        </patternFill>
      </fill>
    </dxf>
    <dxf>
      <font>
        <sz val="8"/>
        <color rgb="FF9C0006"/>
        <name val="Calibri"/>
      </font>
      <fill>
        <patternFill patternType="solid">
          <fgColor rgb="FFFFC7CE"/>
        </patternFill>
      </fill>
    </dxf>
    <dxf>
      <font>
        <sz val="7"/>
        <color rgb="FFFFFFFF"/>
        <name val="Calibri"/>
      </font>
      <fill>
        <patternFill patternType="solid">
          <fgColor rgb="FFE28C15"/>
        </patternFill>
      </fill>
    </dxf>
    <dxf>
      <font>
        <sz val="8"/>
        <color rgb="FF7F6000"/>
        <name val="Calibri"/>
      </font>
      <fill>
        <patternFill patternType="solid">
          <fgColor rgb="FFFFF2CC"/>
        </patternFill>
      </fill>
    </dxf>
    <dxf>
      <font>
        <sz val="8"/>
        <color rgb="FF9C0006"/>
        <name val="Calibri"/>
      </font>
      <fill>
        <patternFill patternType="solid">
          <fgColor rgb="FFFFC7CE"/>
        </patternFill>
      </fill>
    </dxf>
    <dxf>
      <font>
        <sz val="8"/>
        <color rgb="FF276221"/>
        <name val="Calibri"/>
      </font>
      <fill>
        <patternFill patternType="solid">
          <fgColor rgb="FFC6EFCE"/>
        </patternFill>
      </fill>
    </dxf>
    <dxf>
      <font>
        <sz val="7"/>
        <color rgb="FFFFFFFF"/>
        <name val="Calibri"/>
      </font>
      <fill>
        <patternFill patternType="solid">
          <fgColor rgb="FFE28C15"/>
        </patternFill>
      </fill>
    </dxf>
    <dxf>
      <font>
        <sz val="8"/>
        <color rgb="FF276221"/>
        <name val="Calibri"/>
      </font>
      <fill>
        <patternFill patternType="solid">
          <fgColor rgb="FFC6EFCE"/>
        </patternFill>
      </fill>
    </dxf>
    <dxf>
      <font>
        <sz val="8"/>
        <color rgb="FF9C0006"/>
        <name val="Calibri"/>
      </font>
      <fill>
        <patternFill patternType="solid">
          <fgColor rgb="FFFFC7CE"/>
        </patternFill>
      </fill>
    </dxf>
    <dxf>
      <font>
        <sz val="8"/>
        <color rgb="FF7F6000"/>
        <name val="Calibri"/>
      </font>
      <fill>
        <patternFill patternType="solid">
          <fgColor rgb="FFFFF2CC"/>
        </patternFill>
      </fill>
    </dxf>
    <dxf>
      <font>
        <sz val="7"/>
        <color rgb="FFFFFFFF"/>
        <name val="Calibri"/>
      </font>
      <fill>
        <patternFill patternType="solid">
          <fgColor rgb="FFE28C15"/>
        </patternFill>
      </fill>
    </dxf>
    <dxf>
      <font>
        <sz val="8"/>
        <color rgb="FF9C0006"/>
        <name val="Calibri"/>
      </font>
      <fill>
        <patternFill patternType="solid">
          <fgColor rgb="FFFFC7CE"/>
        </patternFill>
      </fill>
    </dxf>
    <dxf>
      <font>
        <sz val="8"/>
        <color rgb="FF7F6000"/>
        <name val="Calibri"/>
      </font>
      <fill>
        <patternFill patternType="solid">
          <fgColor rgb="FFFFF2CC"/>
        </patternFill>
      </fill>
    </dxf>
    <dxf>
      <font>
        <sz val="8"/>
        <color rgb="FF276221"/>
        <name val="Calibri"/>
      </font>
      <fill>
        <patternFill patternType="solid">
          <fgColor rgb="FFC6EFCE"/>
        </patternFill>
      </fill>
    </dxf>
    <dxf>
      <font>
        <sz val="7"/>
        <color rgb="FFFFFFFF"/>
        <name val="Calibri"/>
      </font>
      <fill>
        <patternFill patternType="solid">
          <fgColor rgb="FFE28C15"/>
        </patternFill>
      </fill>
    </dxf>
    <dxf>
      <font>
        <sz val="8"/>
        <color rgb="FF276221"/>
        <name val="Calibri"/>
      </font>
      <fill>
        <patternFill patternType="solid">
          <fgColor rgb="FFC6EFCE"/>
        </patternFill>
      </fill>
    </dxf>
    <dxf>
      <font>
        <sz val="8"/>
        <color rgb="FF7F6000"/>
        <name val="Calibri"/>
      </font>
      <fill>
        <patternFill patternType="solid">
          <fgColor rgb="FFFFF2CC"/>
        </patternFill>
      </fill>
    </dxf>
    <dxf>
      <font>
        <sz val="8"/>
        <color rgb="FF9C0006"/>
        <name val="Calibri"/>
      </font>
      <fill>
        <patternFill patternType="solid">
          <fgColor rgb="FFFFC7CE"/>
        </patternFill>
      </fill>
    </dxf>
    <dxf>
      <font>
        <sz val="7"/>
        <color rgb="FFFFFFFF"/>
        <name val="Calibri"/>
      </font>
      <fill>
        <patternFill patternType="solid">
          <fgColor rgb="FFE28C15"/>
        </patternFill>
      </fill>
    </dxf>
    <dxf>
      <font>
        <sz val="8"/>
        <color rgb="FF7F6000"/>
        <name val="Calibri"/>
      </font>
      <fill>
        <patternFill patternType="solid">
          <fgColor rgb="FFFFF2CC"/>
        </patternFill>
      </fill>
    </dxf>
    <dxf>
      <font>
        <sz val="8"/>
        <color rgb="FF276221"/>
        <name val="Calibri"/>
      </font>
      <fill>
        <patternFill patternType="solid">
          <fgColor rgb="FFC6EFCE"/>
        </patternFill>
      </fill>
    </dxf>
    <dxf>
      <font>
        <sz val="8"/>
        <color rgb="FF9C0006"/>
        <name val="Calibri"/>
      </font>
      <fill>
        <patternFill patternType="solid">
          <fgColor rgb="FFFFC7CE"/>
        </patternFill>
      </fill>
    </dxf>
    <dxf>
      <font>
        <sz val="7"/>
        <color rgb="FFFFFFFF"/>
        <name val="Calibri"/>
      </font>
      <fill>
        <patternFill patternType="solid">
          <fgColor rgb="FFE28C15"/>
        </patternFill>
      </fill>
    </dxf>
    <dxf>
      <font>
        <sz val="8"/>
        <color rgb="FF7F6000"/>
        <name val="Calibri"/>
      </font>
      <fill>
        <patternFill patternType="solid">
          <fgColor rgb="FFFFF2CC"/>
        </patternFill>
      </fill>
    </dxf>
    <dxf>
      <font>
        <sz val="8"/>
        <color rgb="FF9C0006"/>
        <name val="Calibri"/>
      </font>
      <fill>
        <patternFill patternType="solid">
          <fgColor rgb="FFFFC7CE"/>
        </patternFill>
      </fill>
    </dxf>
    <dxf>
      <font>
        <sz val="8"/>
        <color rgb="FF276221"/>
        <name val="Calibri"/>
      </font>
      <fill>
        <patternFill patternType="solid">
          <fgColor rgb="FFC6EFCE"/>
        </patternFill>
      </fill>
    </dxf>
    <dxf>
      <font>
        <sz val="7"/>
        <color rgb="FFFFFFFF"/>
        <name val="Calibri"/>
      </font>
      <fill>
        <patternFill patternType="solid">
          <fgColor rgb="FFE28C15"/>
        </patternFill>
      </fill>
    </dxf>
    <dxf>
      <font>
        <sz val="8"/>
        <color rgb="FF276221"/>
        <name val="Calibri"/>
      </font>
      <fill>
        <patternFill patternType="solid">
          <fgColor rgb="FFC6EFCE"/>
        </patternFill>
      </fill>
    </dxf>
    <dxf>
      <font>
        <sz val="8"/>
        <color rgb="FF9C0006"/>
        <name val="Calibri"/>
      </font>
      <fill>
        <patternFill patternType="solid">
          <fgColor rgb="FFFFC7CE"/>
        </patternFill>
      </fill>
    </dxf>
    <dxf>
      <font>
        <sz val="8"/>
        <color rgb="FF7F6000"/>
        <name val="Calibri"/>
      </font>
      <fill>
        <patternFill patternType="solid">
          <fgColor rgb="FFFFF2CC"/>
        </patternFill>
      </fill>
    </dxf>
    <dxf>
      <font>
        <sz val="7"/>
        <color rgb="FFFFFFFF"/>
        <name val="Calibri"/>
      </font>
      <fill>
        <patternFill patternType="solid">
          <fgColor rgb="FFE28C15"/>
        </patternFill>
      </fill>
    </dxf>
    <dxf>
      <font>
        <sz val="8"/>
        <color rgb="FF276221"/>
        <name val="Calibri"/>
      </font>
      <fill>
        <patternFill patternType="solid">
          <fgColor rgb="FFC6EFCE"/>
        </patternFill>
      </fill>
    </dxf>
    <dxf>
      <font>
        <sz val="8"/>
        <color rgb="FF9C0006"/>
        <name val="Calibri"/>
      </font>
      <fill>
        <patternFill patternType="solid">
          <fgColor rgb="FFFFC7CE"/>
        </patternFill>
      </fill>
    </dxf>
    <dxf>
      <font>
        <sz val="8"/>
        <color rgb="FF7F6000"/>
        <name val="Calibri"/>
      </font>
      <fill>
        <patternFill patternType="solid">
          <fgColor rgb="FFFFF2CC"/>
        </patternFill>
      </fill>
    </dxf>
    <dxf>
      <font>
        <sz val="7"/>
        <color rgb="FFFFFFFF"/>
        <name val="Calibri"/>
      </font>
      <fill>
        <patternFill patternType="solid">
          <fgColor rgb="FFE28C15"/>
        </patternFill>
      </fill>
    </dxf>
    <dxf>
      <font>
        <sz val="8"/>
        <color rgb="FF9C0006"/>
        <name val="Calibri"/>
      </font>
      <fill>
        <patternFill patternType="solid">
          <fgColor rgb="FFFFC7CE"/>
        </patternFill>
      </fill>
    </dxf>
    <dxf>
      <font>
        <sz val="8"/>
        <color rgb="FF7F6000"/>
        <name val="Calibri"/>
      </font>
      <fill>
        <patternFill patternType="solid">
          <fgColor rgb="FFFFF2CC"/>
        </patternFill>
      </fill>
    </dxf>
    <dxf>
      <font>
        <sz val="8"/>
        <color rgb="FF276221"/>
        <name val="Calibri"/>
      </font>
      <fill>
        <patternFill patternType="solid">
          <fgColor rgb="FFC6EFCE"/>
        </patternFill>
      </fill>
    </dxf>
    <dxf>
      <font>
        <sz val="7"/>
        <color rgb="FFFFFFFF"/>
        <name val="Calibri"/>
      </font>
      <fill>
        <patternFill patternType="solid">
          <fgColor rgb="FFE28C15"/>
        </patternFill>
      </fill>
    </dxf>
    <dxf>
      <font>
        <sz val="8"/>
        <color rgb="FF276221"/>
        <name val="Calibri"/>
      </font>
      <fill>
        <patternFill patternType="solid">
          <fgColor rgb="FFC6EFCE"/>
        </patternFill>
      </fill>
    </dxf>
    <dxf>
      <font>
        <sz val="8"/>
        <color rgb="FF7F6000"/>
        <name val="Calibri"/>
      </font>
      <fill>
        <patternFill patternType="solid">
          <fgColor rgb="FFFFF2CC"/>
        </patternFill>
      </fill>
    </dxf>
    <dxf>
      <font>
        <sz val="8"/>
        <color rgb="FF9C0006"/>
        <name val="Calibri"/>
      </font>
      <fill>
        <patternFill patternType="solid">
          <fgColor rgb="FFFFC7CE"/>
        </patternFill>
      </fill>
    </dxf>
    <dxf>
      <font>
        <sz val="7"/>
        <color rgb="FFFFFFFF"/>
        <name val="Calibri"/>
      </font>
      <fill>
        <patternFill patternType="solid">
          <fgColor rgb="FFE28C15"/>
        </patternFill>
      </fill>
    </dxf>
    <dxf>
      <font>
        <sz val="8"/>
        <color rgb="FF9C0006"/>
        <name val="Calibri"/>
      </font>
      <fill>
        <patternFill patternType="solid">
          <fgColor rgb="FFFFC7CE"/>
        </patternFill>
      </fill>
    </dxf>
    <dxf>
      <font>
        <sz val="8"/>
        <color rgb="FF7F6000"/>
        <name val="Calibri"/>
      </font>
      <fill>
        <patternFill patternType="solid">
          <fgColor rgb="FFFFF2CC"/>
        </patternFill>
      </fill>
    </dxf>
    <dxf>
      <font>
        <sz val="8"/>
        <color rgb="FF276221"/>
        <name val="Calibri"/>
      </font>
      <fill>
        <patternFill patternType="solid">
          <fgColor rgb="FFC6EFCE"/>
        </patternFill>
      </fill>
    </dxf>
    <dxf>
      <font>
        <sz val="7"/>
        <color rgb="FFFFFFFF"/>
        <name val="Calibri"/>
      </font>
      <fill>
        <patternFill patternType="solid">
          <fgColor rgb="FFE28C15"/>
        </patternFill>
      </fill>
    </dxf>
    <dxf>
      <font>
        <sz val="8"/>
        <color rgb="FF276221"/>
        <name val="Calibri"/>
      </font>
      <fill>
        <patternFill patternType="solid">
          <fgColor rgb="FFC6EFCE"/>
        </patternFill>
      </fill>
    </dxf>
    <dxf>
      <font>
        <sz val="8"/>
        <color rgb="FF9C0006"/>
        <name val="Calibri"/>
      </font>
      <fill>
        <patternFill patternType="solid">
          <fgColor rgb="FFFFC7CE"/>
        </patternFill>
      </fill>
    </dxf>
    <dxf>
      <font>
        <sz val="8"/>
        <color rgb="FF7F6000"/>
        <name val="Calibri"/>
      </font>
      <fill>
        <patternFill patternType="solid">
          <fgColor rgb="FFFFF2CC"/>
        </patternFill>
      </fill>
    </dxf>
    <dxf>
      <font>
        <sz val="7"/>
        <color rgb="FFFFFFFF"/>
        <name val="Calibri"/>
      </font>
      <fill>
        <patternFill patternType="solid">
          <fgColor rgb="FFE28C15"/>
        </patternFill>
      </fill>
    </dxf>
    <dxf>
      <font>
        <b/>
        <sz val="7"/>
        <color rgb="FFFFFFFF"/>
        <name val="Calibri"/>
      </font>
      <fill>
        <patternFill patternType="solid">
          <fgColor rgb="FFE28C15"/>
        </patternFill>
      </fill>
    </dxf>
    <dxf>
      <font>
        <b/>
        <sz val="10"/>
        <color rgb="FF9C0006"/>
        <name val="Calibri"/>
      </font>
      <fill>
        <patternFill patternType="solid">
          <fgColor rgb="FFFFC7CE"/>
        </patternFill>
      </fill>
    </dxf>
    <dxf>
      <font>
        <b/>
        <sz val="9"/>
        <color rgb="FF9C0006"/>
        <name val="Calibri"/>
      </font>
      <fill>
        <patternFill patternType="solid">
          <fgColor rgb="FFFFC7CE"/>
        </patternFill>
      </fill>
    </dxf>
    <dxf>
      <font>
        <b/>
        <sz val="9"/>
        <color rgb="FF9C0006"/>
        <name val="Calibri"/>
      </font>
      <fill>
        <patternFill patternType="solid">
          <fgColor rgb="FFFFC7CE"/>
        </patternFill>
      </fill>
    </dxf>
    <dxf>
      <font>
        <b/>
        <sz val="9"/>
        <color rgb="FF9C0006"/>
        <name val="Calibri"/>
      </font>
      <fill>
        <patternFill patternType="solid">
          <fgColor rgb="FFFFC7CE"/>
        </patternFill>
      </fill>
    </dxf>
    <dxf>
      <font>
        <b/>
        <sz val="9"/>
        <color rgb="FF9C0006"/>
        <name val="Calibri"/>
      </font>
      <fill>
        <patternFill patternType="solid">
          <fgColor rgb="FFFFC7CE"/>
        </patternFill>
      </fill>
    </dxf>
    <dxf>
      <font>
        <b/>
        <sz val="9"/>
        <color rgb="FF9C0006"/>
        <name val="Calibri"/>
      </font>
      <fill>
        <patternFill patternType="solid">
          <fgColor rgb="FFFFC7CE"/>
        </patternFill>
      </fill>
    </dxf>
    <dxf>
      <font>
        <b/>
        <sz val="9"/>
        <color rgb="FF9C0006"/>
        <name val="Calibri"/>
      </font>
      <fill>
        <patternFill patternType="solid">
          <fgColor rgb="FFFFC7CE"/>
        </patternFill>
      </fill>
    </dxf>
    <dxf>
      <font>
        <b/>
        <sz val="9"/>
        <color rgb="FF9C0006"/>
        <name val="Calibri"/>
      </font>
      <fill>
        <patternFill patternType="solid">
          <fgColor rgb="FFFFC7CE"/>
        </patternFill>
      </fill>
    </dxf>
    <dxf>
      <font>
        <b/>
        <sz val="9"/>
        <color rgb="FF9C0006"/>
        <name val="Calibri"/>
      </font>
      <fill>
        <patternFill patternType="solid">
          <fgColor rgb="FFFFC7CE"/>
        </patternFill>
      </fill>
    </dxf>
    <dxf>
      <font>
        <b/>
        <sz val="9"/>
        <color rgb="FF9C0006"/>
        <name val="Calibri"/>
      </font>
      <fill>
        <patternFill patternType="solid">
          <fgColor rgb="FFFFC7CE"/>
        </patternFill>
      </fill>
    </dxf>
    <dxf>
      <font>
        <b/>
        <sz val="9"/>
        <color rgb="FF9C0006"/>
        <name val="Calibri"/>
      </font>
      <fill>
        <patternFill patternType="solid">
          <fgColor rgb="FFFFC7CE"/>
        </patternFill>
      </fill>
    </dxf>
    <dxf>
      <font>
        <b/>
        <sz val="9"/>
        <color rgb="FF9C0006"/>
        <name val="Calibri"/>
      </font>
      <fill>
        <patternFill patternType="solid">
          <fgColor rgb="FFFFC7CE"/>
        </patternFill>
      </fill>
    </dxf>
    <dxf>
      <font>
        <b/>
        <sz val="9"/>
        <color rgb="FF9C0006"/>
        <name val="Calibri"/>
      </font>
      <fill>
        <patternFill patternType="solid">
          <fgColor rgb="FFFFC7CE"/>
        </patternFill>
      </fill>
    </dxf>
    <dxf>
      <font>
        <b/>
        <sz val="9"/>
        <color rgb="FF9C0006"/>
        <name val="Calibri"/>
      </font>
      <fill>
        <patternFill patternType="solid">
          <fgColor rgb="FFFFC7CE"/>
        </patternFill>
      </fill>
    </dxf>
    <dxf>
      <font>
        <b/>
        <sz val="9"/>
        <color rgb="FF9C0006"/>
        <name val="Calibri"/>
      </font>
      <fill>
        <patternFill patternType="solid">
          <fgColor rgb="FFFFC7CE"/>
        </patternFill>
      </fill>
    </dxf>
    <dxf>
      <font>
        <b/>
        <sz val="9"/>
        <color rgb="FF9C0006"/>
        <name val="Calibri"/>
      </font>
      <fill>
        <patternFill patternType="solid">
          <f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s-MX"/>
              <a:t>Distribución de estatus</a:t>
            </a:r>
          </a:p>
        </c:rich>
      </c:tx>
      <c:overlay val="1"/>
    </c:title>
    <c:autoTitleDeleted val="0"/>
    <c:plotArea>
      <c:layout/>
      <c:doughnutChart>
        <c:varyColors val="1"/>
        <c:ser>
          <c:idx val="0"/>
          <c:order val="0"/>
          <c:tx>
            <c:strRef>
              <c:f>Datos!$B$9</c:f>
              <c:strCache>
                <c:ptCount val="1"/>
                <c:pt idx="0">
                  <c:v>Cantidad</c:v>
                </c:pt>
              </c:strCache>
            </c:strRef>
          </c:tx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FFF2CC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07E1-314E-939E-0AFABE7F5943}"/>
              </c:ext>
            </c:extLst>
          </c:dPt>
          <c:dPt>
            <c:idx val="1"/>
            <c:bubble3D val="0"/>
            <c:spPr>
              <a:solidFill>
                <a:srgbClr val="C6EFCE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07E1-314E-939E-0AFABE7F5943}"/>
              </c:ext>
            </c:extLst>
          </c:dPt>
          <c:dPt>
            <c:idx val="2"/>
            <c:bubble3D val="0"/>
            <c:spPr>
              <a:solidFill>
                <a:srgbClr val="FFC7CE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07E1-314E-939E-0AFABE7F5943}"/>
              </c:ext>
            </c:extLst>
          </c:dPt>
          <c:cat>
            <c:strRef>
              <c:f>Datos!$A$10:$A$12</c:f>
              <c:strCache>
                <c:ptCount val="3"/>
                <c:pt idx="0">
                  <c:v>Pendiente</c:v>
                </c:pt>
                <c:pt idx="1">
                  <c:v>Cumplido</c:v>
                </c:pt>
                <c:pt idx="2">
                  <c:v>En riesgo</c:v>
                </c:pt>
              </c:strCache>
            </c:strRef>
          </c:cat>
          <c:val>
            <c:numRef>
              <c:f>Datos!$B$10:$B$12</c:f>
              <c:numCache>
                <c:formatCode>General</c:formatCode>
                <c:ptCount val="3"/>
                <c:pt idx="0">
                  <c:v>85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7E1-314E-939E-0AFABE7F59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s-MX"/>
              <a:t>Avance por sección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Datos!$B$1</c:f>
              <c:strCache>
                <c:ptCount val="1"/>
                <c:pt idx="0">
                  <c:v>Pendiente</c:v>
                </c:pt>
              </c:strCache>
            </c:strRef>
          </c:tx>
          <c:spPr>
            <a:solidFill>
              <a:srgbClr val="FFF2CC"/>
            </a:solidFill>
            <a:ln>
              <a:solidFill>
                <a:srgbClr val="FFF2CC"/>
              </a:solidFill>
              <a:prstDash val="solid"/>
            </a:ln>
          </c:spPr>
          <c:invertIfNegative val="1"/>
          <c:cat>
            <c:strRef>
              <c:f>Datos!$A$2:$A$4</c:f>
              <c:strCache>
                <c:ptCount val="3"/>
                <c:pt idx="0">
                  <c:v>1. Req. Generales</c:v>
                </c:pt>
                <c:pt idx="1">
                  <c:v>2. Req. Rubro</c:v>
                </c:pt>
                <c:pt idx="2">
                  <c:v>6. Solicitud 61/LA</c:v>
                </c:pt>
              </c:strCache>
            </c:strRef>
          </c:cat>
          <c:val>
            <c:numRef>
              <c:f>Datos!$B$2:$B$4</c:f>
              <c:numCache>
                <c:formatCode>General</c:formatCode>
                <c:ptCount val="3"/>
                <c:pt idx="0">
                  <c:v>22</c:v>
                </c:pt>
                <c:pt idx="1">
                  <c:v>16</c:v>
                </c:pt>
                <c:pt idx="2">
                  <c:v>47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2CC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29F6-7D4B-906C-2A29F5780AF6}"/>
            </c:ext>
          </c:extLst>
        </c:ser>
        <c:ser>
          <c:idx val="1"/>
          <c:order val="1"/>
          <c:tx>
            <c:strRef>
              <c:f>Datos!$C$1</c:f>
              <c:strCache>
                <c:ptCount val="1"/>
                <c:pt idx="0">
                  <c:v>Cumplido</c:v>
                </c:pt>
              </c:strCache>
            </c:strRef>
          </c:tx>
          <c:spPr>
            <a:solidFill>
              <a:srgbClr val="C6EFCE"/>
            </a:solidFill>
            <a:ln>
              <a:solidFill>
                <a:srgbClr val="C6EFCE"/>
              </a:solidFill>
              <a:prstDash val="solid"/>
            </a:ln>
          </c:spPr>
          <c:invertIfNegative val="1"/>
          <c:cat>
            <c:strRef>
              <c:f>Datos!$A$2:$A$4</c:f>
              <c:strCache>
                <c:ptCount val="3"/>
                <c:pt idx="0">
                  <c:v>1. Req. Generales</c:v>
                </c:pt>
                <c:pt idx="1">
                  <c:v>2. Req. Rubro</c:v>
                </c:pt>
                <c:pt idx="2">
                  <c:v>6. Solicitud 61/LA</c:v>
                </c:pt>
              </c:strCache>
            </c:strRef>
          </c:cat>
          <c:val>
            <c:numRef>
              <c:f>Datos!$C$2:$C$4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C6EFCE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29F6-7D4B-906C-2A29F5780AF6}"/>
            </c:ext>
          </c:extLst>
        </c:ser>
        <c:ser>
          <c:idx val="2"/>
          <c:order val="2"/>
          <c:tx>
            <c:strRef>
              <c:f>Datos!$D$1</c:f>
              <c:strCache>
                <c:ptCount val="1"/>
                <c:pt idx="0">
                  <c:v>En riesgo</c:v>
                </c:pt>
              </c:strCache>
            </c:strRef>
          </c:tx>
          <c:spPr>
            <a:solidFill>
              <a:srgbClr val="FFC7CE"/>
            </a:solidFill>
            <a:ln>
              <a:solidFill>
                <a:srgbClr val="FFC7CE"/>
              </a:solidFill>
              <a:prstDash val="solid"/>
            </a:ln>
          </c:spPr>
          <c:invertIfNegative val="1"/>
          <c:cat>
            <c:strRef>
              <c:f>Datos!$A$2:$A$4</c:f>
              <c:strCache>
                <c:ptCount val="3"/>
                <c:pt idx="0">
                  <c:v>1. Req. Generales</c:v>
                </c:pt>
                <c:pt idx="1">
                  <c:v>2. Req. Rubro</c:v>
                </c:pt>
                <c:pt idx="2">
                  <c:v>6. Solicitud 61/LA</c:v>
                </c:pt>
              </c:strCache>
            </c:strRef>
          </c:cat>
          <c:val>
            <c:numRef>
              <c:f>Datos!$D$2:$D$4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C7CE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29F6-7D4B-906C-2A29F5780A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MX"/>
                  <a:t>Ítems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eg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736600</xdr:colOff>
      <xdr:row>27</xdr:row>
      <xdr:rowOff>38100</xdr:rowOff>
    </xdr:from>
    <xdr:ext cx="4320000" cy="36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6</xdr:col>
      <xdr:colOff>342900</xdr:colOff>
      <xdr:row>27</xdr:row>
      <xdr:rowOff>50800</xdr:rowOff>
    </xdr:from>
    <xdr:ext cx="7200000" cy="36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0</xdr:col>
      <xdr:colOff>0</xdr:colOff>
      <xdr:row>0</xdr:row>
      <xdr:rowOff>0</xdr:rowOff>
    </xdr:from>
    <xdr:ext cx="438150" cy="438150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419100" cy="4191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476250" cy="4762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419100" cy="4191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419100" cy="4191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419100" cy="4191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419100" cy="4191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419100" cy="4191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419100" cy="4191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9"/>
  <sheetViews>
    <sheetView showGridLines="0" zoomScale="92" workbookViewId="0">
      <selection activeCell="B7" sqref="B7:E8"/>
    </sheetView>
  </sheetViews>
  <sheetFormatPr baseColWidth="10" defaultColWidth="8.83203125" defaultRowHeight="15" x14ac:dyDescent="0.2"/>
  <cols>
    <col min="1" max="1" width="2" customWidth="1"/>
    <col min="2" max="5" width="18" customWidth="1"/>
    <col min="6" max="6" width="2" customWidth="1"/>
    <col min="7" max="10" width="18" customWidth="1"/>
    <col min="11" max="11" width="31.1640625" bestFit="1" customWidth="1"/>
  </cols>
  <sheetData>
    <row r="1" spans="1:11" ht="50" customHeight="1" x14ac:dyDescent="0.2">
      <c r="A1" s="119" t="s">
        <v>0</v>
      </c>
      <c r="B1" s="120"/>
      <c r="C1" s="120"/>
      <c r="D1" s="120"/>
      <c r="E1" s="120"/>
      <c r="F1" s="120"/>
      <c r="G1" s="120"/>
      <c r="H1" s="120"/>
      <c r="I1" s="120"/>
      <c r="J1" s="120"/>
      <c r="K1" s="121"/>
    </row>
    <row r="2" spans="1:11" ht="22" customHeight="1" x14ac:dyDescent="0.2">
      <c r="A2" s="122"/>
      <c r="B2" s="96"/>
      <c r="C2" s="96"/>
      <c r="D2" s="96"/>
      <c r="E2" s="96"/>
      <c r="F2" s="96"/>
      <c r="G2" s="96"/>
      <c r="H2" s="96"/>
      <c r="I2" s="96"/>
      <c r="J2" s="96"/>
      <c r="K2" s="123"/>
    </row>
    <row r="3" spans="1:11" ht="10" customHeight="1" x14ac:dyDescent="0.2">
      <c r="A3" s="124"/>
      <c r="B3" s="125"/>
      <c r="C3" s="125"/>
      <c r="D3" s="125"/>
      <c r="E3" s="125"/>
      <c r="F3" s="125"/>
      <c r="G3" s="125"/>
      <c r="H3" s="125"/>
      <c r="I3" s="125"/>
      <c r="J3" s="125"/>
      <c r="K3" s="126"/>
    </row>
    <row r="4" spans="1:11" ht="16" customHeight="1" x14ac:dyDescent="0.2">
      <c r="A4" s="136" t="s">
        <v>1</v>
      </c>
      <c r="B4" s="86"/>
      <c r="C4" s="86"/>
      <c r="D4" s="86"/>
      <c r="E4" s="86"/>
      <c r="F4" s="86"/>
      <c r="G4" s="86"/>
      <c r="H4" s="86"/>
      <c r="I4" s="86"/>
      <c r="J4" s="86"/>
      <c r="K4" s="86"/>
    </row>
    <row r="5" spans="1:11" ht="8" customHeight="1" x14ac:dyDescent="0.2"/>
    <row r="6" spans="1:11" ht="20" customHeight="1" x14ac:dyDescent="0.2">
      <c r="B6" s="139" t="s">
        <v>2</v>
      </c>
      <c r="C6" s="77"/>
      <c r="D6" s="77"/>
      <c r="E6" s="78"/>
      <c r="G6" s="135" t="s">
        <v>3</v>
      </c>
      <c r="H6" s="128"/>
      <c r="I6" s="128"/>
      <c r="J6" s="129"/>
      <c r="K6" s="48" t="s">
        <v>4</v>
      </c>
    </row>
    <row r="7" spans="1:11" ht="26" customHeight="1" x14ac:dyDescent="0.2">
      <c r="B7" s="137">
        <f>COUNTIF(Req_Generales!B:B,"Pendiente")+COUNTIF(Req_Generales!B:B,"Cumplido")+COUNTIF(Req_Generales!B:B,"En riesgo")+COUNTIF(Req_Generales!B:B,"N/A")+COUNTIF(Req_Rubro!B:B,"Pendiente")+COUNTIF(Req_Rubro!B:B,"Cumplido")+COUNTIF(Req_Rubro!B:B,"En riesgo")+COUNTIF(Req_Rubro!B:B,"N/A")+COUNTIF(Solicitud_61LA!B:B,"Pendiente")+COUNTIF(Solicitud_61LA!B:B,"Cumplido")+COUNTIF(Solicitud_61LA!B:B,"En riesgo")+COUNTIF(Solicitud_61LA!B:B,"N/A")</f>
        <v>101</v>
      </c>
      <c r="C7" s="103"/>
      <c r="D7" s="103"/>
      <c r="E7" s="104"/>
      <c r="G7" s="141">
        <f>COUNTIF(Req_Generales!B:B,"Cumplido")+COUNTIF(Req_Rubro!B:B,"Cumplido")+COUNTIF(Solicitud_61LA!B:B,"Cumplido")</f>
        <v>0</v>
      </c>
      <c r="H7" s="103"/>
      <c r="I7" s="103"/>
      <c r="J7" s="104"/>
      <c r="K7" s="130" t="s">
        <v>5</v>
      </c>
    </row>
    <row r="8" spans="1:11" ht="26" customHeight="1" x14ac:dyDescent="0.2">
      <c r="B8" s="105"/>
      <c r="C8" s="106"/>
      <c r="D8" s="106"/>
      <c r="E8" s="107"/>
      <c r="G8" s="105"/>
      <c r="H8" s="106"/>
      <c r="I8" s="106"/>
      <c r="J8" s="107"/>
      <c r="K8" s="131"/>
    </row>
    <row r="9" spans="1:11" ht="5" customHeight="1" x14ac:dyDescent="0.2">
      <c r="B9" s="138"/>
      <c r="C9" s="77"/>
      <c r="D9" s="77"/>
      <c r="E9" s="78"/>
      <c r="G9" s="127"/>
      <c r="H9" s="128"/>
      <c r="I9" s="128"/>
      <c r="J9" s="129"/>
      <c r="K9" s="132"/>
    </row>
    <row r="10" spans="1:11" ht="18" customHeight="1" x14ac:dyDescent="0.2">
      <c r="K10" s="21" t="s">
        <v>6</v>
      </c>
    </row>
    <row r="11" spans="1:11" ht="8" customHeight="1" x14ac:dyDescent="0.2"/>
    <row r="12" spans="1:11" ht="20" customHeight="1" x14ac:dyDescent="0.2">
      <c r="B12" s="109" t="s">
        <v>7</v>
      </c>
      <c r="C12" s="110"/>
      <c r="D12" s="110"/>
      <c r="E12" s="111"/>
      <c r="G12" s="134" t="s">
        <v>8</v>
      </c>
      <c r="H12" s="115"/>
      <c r="I12" s="115"/>
      <c r="J12" s="116"/>
    </row>
    <row r="13" spans="1:11" ht="26" customHeight="1" x14ac:dyDescent="0.2">
      <c r="B13" s="133">
        <f>COUNTIF(Req_Generales!B:B,"En riesgo")+COUNTIF(Req_Rubro!B:B,"En riesgo")+COUNTIF(Solicitud_61LA!B:B,"En riesgo")</f>
        <v>0</v>
      </c>
      <c r="C13" s="103"/>
      <c r="D13" s="103"/>
      <c r="E13" s="104"/>
      <c r="G13" s="140">
        <f>COUNTIF(Req_Generales!B:B,"Pendiente")+COUNTIF(Req_Rubro!B:B,"Pendiente")+COUNTIF(Solicitud_61LA!B:B,"Pendiente")</f>
        <v>85</v>
      </c>
      <c r="H13" s="103"/>
      <c r="I13" s="103"/>
      <c r="J13" s="104"/>
    </row>
    <row r="14" spans="1:11" ht="26" customHeight="1" x14ac:dyDescent="0.2">
      <c r="B14" s="105"/>
      <c r="C14" s="106"/>
      <c r="D14" s="106"/>
      <c r="E14" s="107"/>
      <c r="G14" s="105"/>
      <c r="H14" s="106"/>
      <c r="I14" s="106"/>
      <c r="J14" s="107"/>
    </row>
    <row r="15" spans="1:11" ht="5" customHeight="1" x14ac:dyDescent="0.2">
      <c r="B15" s="118"/>
      <c r="C15" s="110"/>
      <c r="D15" s="110"/>
      <c r="E15" s="111"/>
      <c r="G15" s="114"/>
      <c r="H15" s="115"/>
      <c r="I15" s="115"/>
      <c r="J15" s="116"/>
    </row>
    <row r="16" spans="1:11" ht="18" customHeight="1" x14ac:dyDescent="0.2"/>
    <row r="17" spans="2:11" ht="8" customHeight="1" x14ac:dyDescent="0.2"/>
    <row r="18" spans="2:11" ht="20" customHeight="1" x14ac:dyDescent="0.2">
      <c r="B18" s="108" t="s">
        <v>9</v>
      </c>
      <c r="C18" s="80"/>
      <c r="D18" s="80"/>
      <c r="E18" s="81"/>
      <c r="G18" s="113" t="s">
        <v>10</v>
      </c>
      <c r="H18" s="89"/>
      <c r="I18" s="89"/>
      <c r="J18" s="90"/>
    </row>
    <row r="19" spans="2:11" ht="26" customHeight="1" x14ac:dyDescent="0.2">
      <c r="B19" s="102">
        <f>COUNTIF(Req_Generales!E:E,"Adjunto")+COUNTIF(Req_Rubro!E:E,"Adjunto")+COUNTIF(Solicitud_61LA!E:E,"Adjunto")</f>
        <v>0</v>
      </c>
      <c r="C19" s="103"/>
      <c r="D19" s="103"/>
      <c r="E19" s="104"/>
      <c r="G19" s="117">
        <f>IFERROR((COUNTIF(Req_Generales!B:B,"Cumplido")+COUNTIF(Req_Rubro!B:B,"Cumplido")+COUNTIF(Solicitud_61LA!B:B,"Cumplido"))/(COUNTIF(Req_Generales!B:B,"Pendiente")+COUNTIF(Req_Generales!B:B,"Cumplido")+COUNTIF(Req_Generales!B:B,"En riesgo")+COUNTIF(Req_Generales!B:B,"N/A")+COUNTIF(Req_Rubro!B:B,"Pendiente")+COUNTIF(Req_Rubro!B:B,"Cumplido")+COUNTIF(Req_Rubro!B:B,"En riesgo")+COUNTIF(Req_Rubro!B:B,"N/A")+COUNTIF(Solicitud_61LA!B:B,"Pendiente")+COUNTIF(Solicitud_61LA!B:B,"Cumplido")+COUNTIF(Solicitud_61LA!B:B,"En riesgo")+COUNTIF(Solicitud_61LA!B:B,"N/A")),0)</f>
        <v>0</v>
      </c>
      <c r="H19" s="103"/>
      <c r="I19" s="103"/>
      <c r="J19" s="104"/>
    </row>
    <row r="20" spans="2:11" ht="26" customHeight="1" x14ac:dyDescent="0.2">
      <c r="B20" s="105"/>
      <c r="C20" s="106"/>
      <c r="D20" s="106"/>
      <c r="E20" s="107"/>
      <c r="G20" s="105"/>
      <c r="H20" s="106"/>
      <c r="I20" s="106"/>
      <c r="J20" s="107"/>
    </row>
    <row r="21" spans="2:11" ht="5" customHeight="1" x14ac:dyDescent="0.2">
      <c r="B21" s="112"/>
      <c r="C21" s="80"/>
      <c r="D21" s="80"/>
      <c r="E21" s="81"/>
      <c r="G21" s="101"/>
      <c r="H21" s="89"/>
      <c r="I21" s="89"/>
      <c r="J21" s="90"/>
    </row>
    <row r="22" spans="2:11" ht="14" customHeight="1" x14ac:dyDescent="0.2">
      <c r="K22" s="49" t="s">
        <v>11</v>
      </c>
    </row>
    <row r="23" spans="2:11" ht="16" customHeight="1" x14ac:dyDescent="0.2">
      <c r="J23" s="50" t="s">
        <v>12</v>
      </c>
      <c r="K23" s="51">
        <f>IF($K$7="Todos",COUNTIF(Req_Generales!F:F,"Cliente")+COUNTIF(Req_Rubro!F:F,"Cliente")+COUNTIF(Solicitud_61LA!F:F,"Cliente"),IF($K$7="Cliente",COUNTIF(Req_Generales!F:F,"Cliente")+COUNTIF(Req_Rubro!F:F,"Cliente")+COUNTIF(Solicitud_61LA!F:F,"Cliente"),"-"))</f>
        <v>0</v>
      </c>
    </row>
    <row r="24" spans="2:11" ht="16" customHeight="1" x14ac:dyDescent="0.2">
      <c r="J24" s="52" t="s">
        <v>13</v>
      </c>
      <c r="K24" s="53">
        <f>IF($K$7="Todos",COUNTIF(Req_Generales!F:F,"Asesor Russell Bedford")+COUNTIF(Req_Rubro!F:F,"Asesor Russell Bedford")+COUNTIF(Solicitud_61LA!F:F,"Asesor Russell Bedford"),IF($K$7="Asesor Russell Bedford",COUNTIF(Req_Generales!F:F,"Asesor Russell Bedford")+COUNTIF(Req_Rubro!F:F,"Asesor Russell Bedford")+COUNTIF(Solicitud_61LA!F:F,"Asesor Russell Bedford"),"-"))</f>
        <v>0</v>
      </c>
    </row>
    <row r="25" spans="2:11" ht="16" customHeight="1" x14ac:dyDescent="0.2">
      <c r="J25" s="50" t="s">
        <v>14</v>
      </c>
      <c r="K25" s="51">
        <f>IF($K$7="Todos",COUNTIF(Req_Generales!F:F,"AGACE")+COUNTIF(Req_Rubro!F:F,"AGACE")+COUNTIF(Solicitud_61LA!F:F,"AGACE"),IF($K$7="AGACE",COUNTIF(Req_Generales!F:F,"AGACE")+COUNTIF(Req_Rubro!F:F,"AGACE")+COUNTIF(Solicitud_61LA!F:F,"AGACE"),"-"))</f>
        <v>0</v>
      </c>
    </row>
    <row r="26" spans="2:11" ht="16" customHeight="1" x14ac:dyDescent="0.2">
      <c r="J26" s="52" t="s">
        <v>15</v>
      </c>
      <c r="K26" s="53">
        <f>IF($K$7="Todos",COUNTIF(Req_Generales!F:F,"Otro")+COUNTIF(Req_Rubro!F:F,"Otro")+COUNTIF(Solicitud_61LA!F:F,"Otro"),IF($K$7="Otro",COUNTIF(Req_Generales!F:F,"Otro")+COUNTIF(Req_Rubro!F:F,"Otro")+COUNTIF(Solicitud_61LA!F:F,"Otro"),"-"))</f>
        <v>0</v>
      </c>
    </row>
    <row r="27" spans="2:11" ht="18" customHeight="1" x14ac:dyDescent="0.2"/>
    <row r="28" spans="2:11" ht="18" customHeight="1" x14ac:dyDescent="0.2"/>
    <row r="29" spans="2:11" ht="18" customHeight="1" x14ac:dyDescent="0.2"/>
    <row r="30" spans="2:11" ht="18" customHeight="1" x14ac:dyDescent="0.2"/>
    <row r="31" spans="2:11" ht="18" customHeight="1" x14ac:dyDescent="0.2"/>
    <row r="32" spans="2:11" ht="18" customHeight="1" x14ac:dyDescent="0.2"/>
    <row r="33" ht="18" customHeight="1" x14ac:dyDescent="0.2"/>
    <row r="34" ht="18" customHeight="1" x14ac:dyDescent="0.2"/>
    <row r="35" ht="18" customHeight="1" x14ac:dyDescent="0.2"/>
    <row r="36" ht="18" customHeight="1" x14ac:dyDescent="0.2"/>
    <row r="37" ht="18" customHeight="1" x14ac:dyDescent="0.2"/>
    <row r="38" ht="18" customHeight="1" x14ac:dyDescent="0.2"/>
    <row r="39" ht="18" customHeight="1" x14ac:dyDescent="0.2"/>
    <row r="40" ht="18" customHeight="1" x14ac:dyDescent="0.2"/>
    <row r="41" ht="18" customHeight="1" x14ac:dyDescent="0.2"/>
    <row r="42" ht="18" customHeight="1" x14ac:dyDescent="0.2"/>
    <row r="43" ht="18" customHeight="1" x14ac:dyDescent="0.2"/>
    <row r="44" ht="18" customHeight="1" x14ac:dyDescent="0.2"/>
    <row r="45" ht="18" customHeight="1" x14ac:dyDescent="0.2"/>
    <row r="46" ht="18" customHeight="1" x14ac:dyDescent="0.2"/>
    <row r="47" ht="18" customHeight="1" x14ac:dyDescent="0.2"/>
    <row r="48" ht="18" customHeight="1" x14ac:dyDescent="0.2"/>
    <row r="49" ht="18" customHeight="1" x14ac:dyDescent="0.2"/>
    <row r="50" ht="18" customHeight="1" x14ac:dyDescent="0.2"/>
    <row r="51" ht="18" customHeight="1" x14ac:dyDescent="0.2"/>
    <row r="52" ht="18" customHeight="1" x14ac:dyDescent="0.2"/>
    <row r="53" ht="18" customHeight="1" x14ac:dyDescent="0.2"/>
    <row r="54" ht="18" customHeight="1" x14ac:dyDescent="0.2"/>
    <row r="55" ht="18" customHeight="1" x14ac:dyDescent="0.2"/>
    <row r="56" ht="18" customHeight="1" x14ac:dyDescent="0.2"/>
    <row r="57" ht="18" customHeight="1" x14ac:dyDescent="0.2"/>
    <row r="58" ht="18" customHeight="1" x14ac:dyDescent="0.2"/>
    <row r="59" ht="18" customHeight="1" x14ac:dyDescent="0.2"/>
    <row r="60" ht="18" customHeight="1" x14ac:dyDescent="0.2"/>
    <row r="61" ht="18" customHeight="1" x14ac:dyDescent="0.2"/>
    <row r="62" ht="18" customHeight="1" x14ac:dyDescent="0.2"/>
    <row r="63" ht="18" customHeight="1" x14ac:dyDescent="0.2"/>
    <row r="64" ht="18" customHeight="1" x14ac:dyDescent="0.2"/>
    <row r="65" ht="18" customHeight="1" x14ac:dyDescent="0.2"/>
    <row r="66" ht="18" customHeight="1" x14ac:dyDescent="0.2"/>
    <row r="67" ht="18" customHeight="1" x14ac:dyDescent="0.2"/>
    <row r="68" ht="18" customHeight="1" x14ac:dyDescent="0.2"/>
    <row r="69" ht="18" customHeight="1" x14ac:dyDescent="0.2"/>
    <row r="70" ht="18" customHeight="1" x14ac:dyDescent="0.2"/>
    <row r="71" ht="18" customHeight="1" x14ac:dyDescent="0.2"/>
    <row r="72" ht="18" customHeight="1" x14ac:dyDescent="0.2"/>
    <row r="73" ht="18" customHeight="1" x14ac:dyDescent="0.2"/>
    <row r="74" ht="18" customHeight="1" x14ac:dyDescent="0.2"/>
    <row r="75" ht="18" customHeight="1" x14ac:dyDescent="0.2"/>
    <row r="76" ht="18" customHeight="1" x14ac:dyDescent="0.2"/>
    <row r="77" ht="18" customHeight="1" x14ac:dyDescent="0.2"/>
    <row r="78" ht="18" customHeight="1" x14ac:dyDescent="0.2"/>
    <row r="79" ht="18" customHeight="1" x14ac:dyDescent="0.2"/>
  </sheetData>
  <mergeCells count="21">
    <mergeCell ref="A1:K3"/>
    <mergeCell ref="G9:J9"/>
    <mergeCell ref="K7:K9"/>
    <mergeCell ref="B13:E14"/>
    <mergeCell ref="G12:J12"/>
    <mergeCell ref="G6:J6"/>
    <mergeCell ref="A4:K4"/>
    <mergeCell ref="B7:E8"/>
    <mergeCell ref="B9:E9"/>
    <mergeCell ref="B6:E6"/>
    <mergeCell ref="G13:J14"/>
    <mergeCell ref="G7:J8"/>
    <mergeCell ref="G21:J21"/>
    <mergeCell ref="B19:E20"/>
    <mergeCell ref="B18:E18"/>
    <mergeCell ref="B12:E12"/>
    <mergeCell ref="B21:E21"/>
    <mergeCell ref="G18:J18"/>
    <mergeCell ref="G15:J15"/>
    <mergeCell ref="G19:J20"/>
    <mergeCell ref="B15:E15"/>
  </mergeCells>
  <dataValidations count="1">
    <dataValidation type="list" sqref="K7" xr:uid="{00000000-0002-0000-0000-000000000000}">
      <formula1>"Todos,Cliente,Asesor Russell Bedford,AGACE,Otro"</formula1>
    </dataValidation>
  </dataValidation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41"/>
  <sheetViews>
    <sheetView showGridLines="0" workbookViewId="0">
      <pane xSplit="6" ySplit="6" topLeftCell="G7" activePane="bottomRight" state="frozen"/>
      <selection pane="topRight"/>
      <selection pane="bottomLeft"/>
      <selection pane="bottomRight" sqref="A1:Z1"/>
    </sheetView>
  </sheetViews>
  <sheetFormatPr baseColWidth="10" defaultColWidth="8.83203125" defaultRowHeight="15" x14ac:dyDescent="0.2"/>
  <cols>
    <col min="1" max="1" width="4" customWidth="1"/>
    <col min="2" max="2" width="40" customWidth="1"/>
    <col min="3" max="3" width="22" customWidth="1"/>
    <col min="4" max="5" width="13" customWidth="1"/>
    <col min="6" max="6" width="14" customWidth="1"/>
    <col min="7" max="26" width="4.5" customWidth="1"/>
  </cols>
  <sheetData>
    <row r="1" spans="1:26" ht="48" customHeight="1" x14ac:dyDescent="0.2">
      <c r="A1" s="149" t="s">
        <v>16</v>
      </c>
      <c r="B1" s="96"/>
      <c r="C1" s="96"/>
      <c r="D1" s="96"/>
      <c r="E1" s="96"/>
      <c r="F1" s="96"/>
      <c r="G1" s="96"/>
      <c r="H1" s="96"/>
      <c r="I1" s="96"/>
      <c r="J1" s="96"/>
      <c r="K1" s="96"/>
      <c r="L1" s="96"/>
      <c r="M1" s="96"/>
      <c r="N1" s="96"/>
      <c r="O1" s="96"/>
      <c r="P1" s="96"/>
      <c r="Q1" s="96"/>
      <c r="R1" s="96"/>
      <c r="S1" s="96"/>
      <c r="T1" s="96"/>
      <c r="U1" s="96"/>
      <c r="V1" s="96"/>
      <c r="W1" s="96"/>
      <c r="X1" s="96"/>
      <c r="Y1" s="96"/>
      <c r="Z1" s="96"/>
    </row>
    <row r="2" spans="1:26" ht="14" customHeight="1" x14ac:dyDescent="0.2">
      <c r="A2" s="146" t="s">
        <v>17</v>
      </c>
      <c r="B2" s="96"/>
      <c r="C2" s="96"/>
      <c r="D2" s="96"/>
      <c r="E2" s="96"/>
      <c r="F2" s="96"/>
      <c r="G2" s="96"/>
      <c r="H2" s="96"/>
      <c r="I2" s="96"/>
      <c r="J2" s="96"/>
      <c r="K2" s="96"/>
      <c r="L2" s="96"/>
      <c r="M2" s="96"/>
      <c r="N2" s="96"/>
      <c r="O2" s="96"/>
      <c r="P2" s="96"/>
      <c r="Q2" s="96"/>
      <c r="R2" s="96"/>
      <c r="S2" s="96"/>
      <c r="T2" s="96"/>
      <c r="U2" s="96"/>
      <c r="V2" s="96"/>
      <c r="W2" s="96"/>
      <c r="X2" s="96"/>
      <c r="Y2" s="96"/>
      <c r="Z2" s="96"/>
    </row>
    <row r="3" spans="1:26" ht="24" customHeight="1" x14ac:dyDescent="0.2">
      <c r="A3" s="154" t="s">
        <v>18</v>
      </c>
      <c r="B3" s="96"/>
      <c r="C3" s="96"/>
      <c r="D3" s="151">
        <v>46139</v>
      </c>
      <c r="E3" s="96"/>
      <c r="F3" s="96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59"/>
      <c r="S3" s="59"/>
      <c r="T3" s="59"/>
      <c r="U3" s="59"/>
      <c r="V3" s="59"/>
      <c r="W3" s="59"/>
      <c r="X3" s="59"/>
      <c r="Y3" s="59"/>
      <c r="Z3" s="59"/>
    </row>
    <row r="4" spans="1:26" ht="14" customHeight="1" x14ac:dyDescent="0.2">
      <c r="A4" s="148" t="s">
        <v>19</v>
      </c>
      <c r="B4" s="96"/>
      <c r="C4" s="96"/>
      <c r="D4" s="96"/>
      <c r="E4" s="96"/>
      <c r="F4" s="96"/>
      <c r="G4" s="96"/>
      <c r="H4" s="96"/>
      <c r="I4" s="96"/>
      <c r="J4" s="96"/>
      <c r="K4" s="96"/>
      <c r="L4" s="96"/>
      <c r="M4" s="96"/>
      <c r="N4" s="96"/>
      <c r="O4" s="96"/>
      <c r="P4" s="96"/>
      <c r="Q4" s="96"/>
      <c r="R4" s="96"/>
      <c r="S4" s="96"/>
      <c r="T4" s="96"/>
      <c r="U4" s="96"/>
      <c r="V4" s="96"/>
      <c r="W4" s="96"/>
      <c r="X4" s="96"/>
      <c r="Y4" s="96"/>
      <c r="Z4" s="96"/>
    </row>
    <row r="5" spans="1:26" ht="22" customHeight="1" x14ac:dyDescent="0.2">
      <c r="A5" s="54" t="s">
        <v>20</v>
      </c>
      <c r="B5" s="54" t="s">
        <v>21</v>
      </c>
      <c r="C5" s="54" t="s">
        <v>22</v>
      </c>
      <c r="D5" s="54" t="s">
        <v>23</v>
      </c>
      <c r="E5" s="54" t="s">
        <v>24</v>
      </c>
      <c r="F5" s="54" t="s">
        <v>25</v>
      </c>
      <c r="G5" s="60" t="s">
        <v>26</v>
      </c>
      <c r="H5" s="61" t="s">
        <v>27</v>
      </c>
      <c r="I5" s="60" t="s">
        <v>28</v>
      </c>
      <c r="J5" s="61" t="s">
        <v>29</v>
      </c>
      <c r="K5" s="60" t="s">
        <v>30</v>
      </c>
      <c r="L5" s="61" t="s">
        <v>31</v>
      </c>
      <c r="M5" s="60" t="s">
        <v>32</v>
      </c>
      <c r="N5" s="61" t="s">
        <v>33</v>
      </c>
      <c r="O5" s="60" t="s">
        <v>34</v>
      </c>
      <c r="P5" s="61" t="s">
        <v>35</v>
      </c>
      <c r="Q5" s="60" t="s">
        <v>36</v>
      </c>
      <c r="R5" s="61" t="s">
        <v>37</v>
      </c>
      <c r="S5" s="60" t="s">
        <v>38</v>
      </c>
      <c r="T5" s="61" t="s">
        <v>39</v>
      </c>
      <c r="U5" s="60" t="s">
        <v>40</v>
      </c>
      <c r="V5" s="61" t="s">
        <v>41</v>
      </c>
      <c r="W5" s="60" t="s">
        <v>42</v>
      </c>
      <c r="X5" s="61" t="s">
        <v>43</v>
      </c>
      <c r="Y5" s="60" t="s">
        <v>44</v>
      </c>
      <c r="Z5" s="61" t="s">
        <v>45</v>
      </c>
    </row>
    <row r="6" spans="1:26" ht="13" customHeight="1" x14ac:dyDescent="0.2">
      <c r="A6" s="62"/>
      <c r="B6" s="62"/>
      <c r="C6" s="62"/>
      <c r="D6" s="62"/>
      <c r="E6" s="62"/>
      <c r="F6" s="62"/>
      <c r="G6" s="63">
        <f>$D$3+0</f>
        <v>46139</v>
      </c>
      <c r="H6" s="63">
        <f>$D$3+7</f>
        <v>46146</v>
      </c>
      <c r="I6" s="63">
        <f>$D$3+14</f>
        <v>46153</v>
      </c>
      <c r="J6" s="63">
        <f>$D$3+21</f>
        <v>46160</v>
      </c>
      <c r="K6" s="63">
        <f>$D$3+28</f>
        <v>46167</v>
      </c>
      <c r="L6" s="63">
        <f>$D$3+35</f>
        <v>46174</v>
      </c>
      <c r="M6" s="63">
        <f>$D$3+42</f>
        <v>46181</v>
      </c>
      <c r="N6" s="63">
        <f>$D$3+49</f>
        <v>46188</v>
      </c>
      <c r="O6" s="63">
        <f>$D$3+56</f>
        <v>46195</v>
      </c>
      <c r="P6" s="63">
        <f>$D$3+63</f>
        <v>46202</v>
      </c>
      <c r="Q6" s="63">
        <f>$D$3+70</f>
        <v>46209</v>
      </c>
      <c r="R6" s="63">
        <f>$D$3+77</f>
        <v>46216</v>
      </c>
      <c r="S6" s="63">
        <f>$D$3+84</f>
        <v>46223</v>
      </c>
      <c r="T6" s="63">
        <f>$D$3+91</f>
        <v>46230</v>
      </c>
      <c r="U6" s="63">
        <f>$D$3+98</f>
        <v>46237</v>
      </c>
      <c r="V6" s="63">
        <f>$D$3+105</f>
        <v>46244</v>
      </c>
      <c r="W6" s="63">
        <f>$D$3+112</f>
        <v>46251</v>
      </c>
      <c r="X6" s="63">
        <f>$D$3+119</f>
        <v>46258</v>
      </c>
      <c r="Y6" s="63">
        <f>$D$3+126</f>
        <v>46265</v>
      </c>
      <c r="Z6" s="63">
        <f>$D$3+133</f>
        <v>46272</v>
      </c>
    </row>
    <row r="7" spans="1:26" ht="18" customHeight="1" x14ac:dyDescent="0.2">
      <c r="A7" s="152" t="s">
        <v>46</v>
      </c>
      <c r="B7" s="96"/>
      <c r="C7" s="96"/>
      <c r="D7" s="96"/>
      <c r="E7" s="96"/>
      <c r="F7" s="96"/>
      <c r="G7" s="96"/>
      <c r="H7" s="96"/>
      <c r="I7" s="96"/>
      <c r="J7" s="96"/>
      <c r="K7" s="96"/>
      <c r="L7" s="96"/>
      <c r="M7" s="96"/>
      <c r="N7" s="96"/>
      <c r="O7" s="96"/>
      <c r="P7" s="96"/>
      <c r="Q7" s="96"/>
      <c r="R7" s="96"/>
      <c r="S7" s="96"/>
      <c r="T7" s="96"/>
      <c r="U7" s="96"/>
      <c r="V7" s="96"/>
      <c r="W7" s="96"/>
      <c r="X7" s="96"/>
      <c r="Y7" s="96"/>
      <c r="Z7" s="96"/>
    </row>
    <row r="8" spans="1:26" ht="20" customHeight="1" x14ac:dyDescent="0.2">
      <c r="A8" s="64"/>
      <c r="B8" s="65" t="s">
        <v>47</v>
      </c>
      <c r="C8" s="66" t="s">
        <v>48</v>
      </c>
      <c r="D8" s="67"/>
      <c r="E8" s="67"/>
      <c r="F8" s="68" t="s">
        <v>49</v>
      </c>
      <c r="G8" s="69"/>
      <c r="H8" s="69"/>
      <c r="I8" s="69"/>
      <c r="J8" s="69"/>
      <c r="K8" s="69"/>
      <c r="L8" s="69"/>
      <c r="M8" s="69"/>
      <c r="N8" s="69"/>
      <c r="O8" s="69"/>
      <c r="P8" s="69"/>
      <c r="Q8" s="69"/>
      <c r="R8" s="69"/>
      <c r="S8" s="69"/>
      <c r="T8" s="69"/>
      <c r="U8" s="69"/>
      <c r="V8" s="69"/>
      <c r="W8" s="69"/>
      <c r="X8" s="69"/>
      <c r="Y8" s="69"/>
      <c r="Z8" s="69"/>
    </row>
    <row r="9" spans="1:26" ht="20" customHeight="1" x14ac:dyDescent="0.2">
      <c r="A9" s="64"/>
      <c r="B9" s="65" t="s">
        <v>50</v>
      </c>
      <c r="C9" s="66" t="s">
        <v>48</v>
      </c>
      <c r="D9" s="67"/>
      <c r="E9" s="67"/>
      <c r="F9" s="68" t="s">
        <v>49</v>
      </c>
      <c r="G9" s="69"/>
      <c r="H9" s="69"/>
      <c r="I9" s="69"/>
      <c r="J9" s="69"/>
      <c r="K9" s="69"/>
      <c r="L9" s="69"/>
      <c r="M9" s="69"/>
      <c r="N9" s="69"/>
      <c r="O9" s="69"/>
      <c r="P9" s="69"/>
      <c r="Q9" s="69"/>
      <c r="R9" s="69"/>
      <c r="S9" s="69"/>
      <c r="T9" s="69"/>
      <c r="U9" s="69"/>
      <c r="V9" s="69"/>
      <c r="W9" s="69"/>
      <c r="X9" s="69"/>
      <c r="Y9" s="69"/>
      <c r="Z9" s="69"/>
    </row>
    <row r="10" spans="1:26" ht="20" customHeight="1" x14ac:dyDescent="0.2">
      <c r="A10" s="64"/>
      <c r="B10" s="65" t="s">
        <v>51</v>
      </c>
      <c r="C10" s="66" t="s">
        <v>48</v>
      </c>
      <c r="D10" s="67"/>
      <c r="E10" s="67"/>
      <c r="F10" s="68" t="s">
        <v>49</v>
      </c>
      <c r="G10" s="69"/>
      <c r="H10" s="69"/>
      <c r="I10" s="69"/>
      <c r="J10" s="69"/>
      <c r="K10" s="69"/>
      <c r="L10" s="69"/>
      <c r="M10" s="69"/>
      <c r="N10" s="69"/>
      <c r="O10" s="69"/>
      <c r="P10" s="69"/>
      <c r="Q10" s="69"/>
      <c r="R10" s="69"/>
      <c r="S10" s="69"/>
      <c r="T10" s="69"/>
      <c r="U10" s="69"/>
      <c r="V10" s="69"/>
      <c r="W10" s="69"/>
      <c r="X10" s="69"/>
      <c r="Y10" s="69"/>
      <c r="Z10" s="69"/>
    </row>
    <row r="11" spans="1:26" ht="22" customHeight="1" x14ac:dyDescent="0.2">
      <c r="A11" s="70">
        <v>1</v>
      </c>
      <c r="B11" s="55" t="str">
        <f>Req_Generales!C5</f>
        <v>Personas morales constituidas conforme a la legislación mexicana</v>
      </c>
      <c r="C11" s="56">
        <f>Req_Generales!F5</f>
        <v>0</v>
      </c>
      <c r="D11" s="71">
        <f t="shared" ref="D11:D20" si="0">$D$10</f>
        <v>0</v>
      </c>
      <c r="E11" s="71">
        <f t="shared" ref="E11:E20" si="1">$E$10</f>
        <v>0</v>
      </c>
      <c r="F11" s="16" t="str">
        <f>Req_Generales!B5</f>
        <v>Pendiente</v>
      </c>
      <c r="G11" s="72"/>
      <c r="H11" s="72"/>
      <c r="I11" s="72"/>
      <c r="J11" s="72"/>
      <c r="K11" s="72"/>
      <c r="L11" s="72"/>
      <c r="M11" s="72"/>
      <c r="N11" s="72"/>
      <c r="O11" s="72"/>
      <c r="P11" s="72"/>
      <c r="Q11" s="72"/>
      <c r="R11" s="72"/>
      <c r="S11" s="72"/>
      <c r="T11" s="72"/>
      <c r="U11" s="72"/>
      <c r="V11" s="72"/>
      <c r="W11" s="72"/>
      <c r="X11" s="72"/>
      <c r="Y11" s="72"/>
      <c r="Z11" s="72"/>
    </row>
    <row r="12" spans="1:26" ht="22" customHeight="1" x14ac:dyDescent="0.2">
      <c r="A12" s="70">
        <v>2</v>
      </c>
      <c r="B12" s="57" t="str">
        <f>Req_Generales!C6</f>
        <v>Estar al corriente en obligaciones fiscales y aduaneras; autorizar al SAT para hacer pública la opinión positiva (Regla 2.1.24 RMF)</v>
      </c>
      <c r="C12" s="58">
        <f>Req_Generales!F6</f>
        <v>0</v>
      </c>
      <c r="D12" s="73">
        <f t="shared" si="0"/>
        <v>0</v>
      </c>
      <c r="E12" s="73">
        <f t="shared" si="1"/>
        <v>0</v>
      </c>
      <c r="F12" s="74" t="str">
        <f>Req_Generales!B6</f>
        <v>Pendiente</v>
      </c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</row>
    <row r="13" spans="1:26" ht="22" customHeight="1" x14ac:dyDescent="0.2">
      <c r="A13" s="70">
        <v>3</v>
      </c>
      <c r="B13" s="55" t="str">
        <f>Req_Generales!C7</f>
        <v>Contar con certificados de sellos digitales vigentes y no ubicarse en supuestos del art. 17-H Bis CFF en los últimos 12 meses</v>
      </c>
      <c r="C13" s="56">
        <f>Req_Generales!F7</f>
        <v>0</v>
      </c>
      <c r="D13" s="71">
        <f t="shared" si="0"/>
        <v>0</v>
      </c>
      <c r="E13" s="71">
        <f t="shared" si="1"/>
        <v>0</v>
      </c>
      <c r="F13" s="16" t="str">
        <f>Req_Generales!B7</f>
        <v>Pendiente</v>
      </c>
      <c r="G13" s="72"/>
      <c r="H13" s="72"/>
      <c r="I13" s="72"/>
      <c r="J13" s="72"/>
      <c r="K13" s="72"/>
      <c r="L13" s="72"/>
      <c r="M13" s="72"/>
      <c r="N13" s="72"/>
      <c r="O13" s="72"/>
      <c r="P13" s="72"/>
      <c r="Q13" s="72"/>
      <c r="R13" s="72"/>
      <c r="S13" s="72"/>
      <c r="T13" s="72"/>
      <c r="U13" s="72"/>
      <c r="V13" s="72"/>
      <c r="W13" s="72"/>
      <c r="X13" s="72"/>
      <c r="Y13" s="72"/>
      <c r="Z13" s="72"/>
    </row>
    <row r="14" spans="1:26" ht="22" customHeight="1" x14ac:dyDescent="0.2">
      <c r="A14" s="70">
        <v>4</v>
      </c>
      <c r="B14" s="57" t="str">
        <f>Req_Generales!C8</f>
        <v>No estar en listados SAT: art. 69 CFF (exc. fracc. VI), art. 69-B cuarto párrafo, art. 69-B Bis noveno párrafo</v>
      </c>
      <c r="C14" s="58">
        <f>Req_Generales!F8</f>
        <v>0</v>
      </c>
      <c r="D14" s="73">
        <f t="shared" si="0"/>
        <v>0</v>
      </c>
      <c r="E14" s="73">
        <f t="shared" si="1"/>
        <v>0</v>
      </c>
      <c r="F14" s="74" t="str">
        <f>Req_Generales!B8</f>
        <v>Pendiente</v>
      </c>
      <c r="G14" s="75"/>
      <c r="H14" s="75"/>
      <c r="I14" s="75"/>
      <c r="J14" s="75"/>
      <c r="K14" s="75"/>
      <c r="L14" s="75"/>
      <c r="M14" s="75"/>
      <c r="N14" s="75"/>
      <c r="O14" s="75"/>
      <c r="P14" s="75"/>
      <c r="Q14" s="75"/>
      <c r="R14" s="75"/>
      <c r="S14" s="75"/>
      <c r="T14" s="75"/>
      <c r="U14" s="75"/>
      <c r="V14" s="75"/>
      <c r="W14" s="75"/>
      <c r="X14" s="75"/>
      <c r="Y14" s="75"/>
      <c r="Z14" s="75"/>
    </row>
    <row r="15" spans="1:26" ht="22" customHeight="1" x14ac:dyDescent="0.2">
      <c r="A15" s="70">
        <v>5</v>
      </c>
      <c r="B15" s="55" t="str">
        <f>Req_Generales!C9</f>
        <v>No haberse emitido resolución de emisión de falsos comprobantes fiscales (art. 49 Bis CFF)</v>
      </c>
      <c r="C15" s="56">
        <f>Req_Generales!F9</f>
        <v>0</v>
      </c>
      <c r="D15" s="71">
        <f t="shared" si="0"/>
        <v>0</v>
      </c>
      <c r="E15" s="71">
        <f t="shared" si="1"/>
        <v>0</v>
      </c>
      <c r="F15" s="16" t="str">
        <f>Req_Generales!B9</f>
        <v>Pendiente</v>
      </c>
      <c r="G15" s="72"/>
      <c r="H15" s="72"/>
      <c r="I15" s="72"/>
      <c r="J15" s="72"/>
      <c r="K15" s="72"/>
      <c r="L15" s="72"/>
      <c r="M15" s="72"/>
      <c r="N15" s="72"/>
      <c r="O15" s="72"/>
      <c r="P15" s="72"/>
      <c r="Q15" s="72"/>
      <c r="R15" s="72"/>
      <c r="S15" s="72"/>
      <c r="T15" s="72"/>
      <c r="U15" s="72"/>
      <c r="V15" s="72"/>
      <c r="W15" s="72"/>
      <c r="X15" s="72"/>
      <c r="Y15" s="72"/>
      <c r="Z15" s="72"/>
    </row>
    <row r="16" spans="1:26" ht="22" customHeight="1" x14ac:dyDescent="0.2">
      <c r="A16" s="70">
        <v>6</v>
      </c>
      <c r="B16" s="57" t="str">
        <f>Req_Generales!C10</f>
        <v>Socios, accionistas, representante legal e integrantes de administración al corriente en obligaciones fiscales</v>
      </c>
      <c r="C16" s="58">
        <f>Req_Generales!F10</f>
        <v>0</v>
      </c>
      <c r="D16" s="73">
        <f t="shared" si="0"/>
        <v>0</v>
      </c>
      <c r="E16" s="73">
        <f t="shared" si="1"/>
        <v>0</v>
      </c>
      <c r="F16" s="74" t="str">
        <f>Req_Generales!B10</f>
        <v>Pendiente</v>
      </c>
      <c r="G16" s="75"/>
      <c r="H16" s="75"/>
      <c r="I16" s="75"/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5"/>
      <c r="V16" s="75"/>
      <c r="W16" s="75"/>
      <c r="X16" s="75"/>
      <c r="Y16" s="75"/>
      <c r="Z16" s="75"/>
    </row>
    <row r="17" spans="1:26" ht="22" customHeight="1" x14ac:dyDescent="0.2">
      <c r="A17" s="70">
        <v>7</v>
      </c>
      <c r="B17" s="55" t="str">
        <f>Req_Generales!C11</f>
        <v>Socios/accionistas y administración no vinculados con empresa a quien se le canceló el registro (regla 7.2.4)</v>
      </c>
      <c r="C17" s="56">
        <f>Req_Generales!F11</f>
        <v>0</v>
      </c>
      <c r="D17" s="71">
        <f t="shared" si="0"/>
        <v>0</v>
      </c>
      <c r="E17" s="71">
        <f t="shared" si="1"/>
        <v>0</v>
      </c>
      <c r="F17" s="16" t="str">
        <f>Req_Generales!B11</f>
        <v>Pendiente</v>
      </c>
      <c r="G17" s="72"/>
      <c r="H17" s="72"/>
      <c r="I17" s="72"/>
      <c r="J17" s="72"/>
      <c r="K17" s="72"/>
      <c r="L17" s="72"/>
      <c r="M17" s="72"/>
      <c r="N17" s="72"/>
      <c r="O17" s="72"/>
      <c r="P17" s="72"/>
      <c r="Q17" s="72"/>
      <c r="R17" s="72"/>
      <c r="S17" s="72"/>
      <c r="T17" s="72"/>
      <c r="U17" s="72"/>
      <c r="V17" s="72"/>
      <c r="W17" s="72"/>
      <c r="X17" s="72"/>
      <c r="Y17" s="72"/>
      <c r="Z17" s="72"/>
    </row>
    <row r="18" spans="1:26" ht="22" customHeight="1" x14ac:dyDescent="0.2">
      <c r="A18" s="70">
        <v>8</v>
      </c>
      <c r="B18" s="57" t="str">
        <f>Req_Generales!C12</f>
        <v>Ningún socio condenado por delitos que ameriten pena corporal</v>
      </c>
      <c r="C18" s="58">
        <f>Req_Generales!F12</f>
        <v>0</v>
      </c>
      <c r="D18" s="73">
        <f t="shared" si="0"/>
        <v>0</v>
      </c>
      <c r="E18" s="73">
        <f t="shared" si="1"/>
        <v>0</v>
      </c>
      <c r="F18" s="74" t="str">
        <f>Req_Generales!B12</f>
        <v>Pendiente</v>
      </c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</row>
    <row r="19" spans="1:26" ht="22" customHeight="1" x14ac:dyDescent="0.2">
      <c r="A19" s="70">
        <v>9</v>
      </c>
      <c r="B19" s="55" t="str">
        <f>Req_Generales!C13</f>
        <v>Sin sanciones administrativas por importación o exportación de mercancías</v>
      </c>
      <c r="C19" s="56">
        <f>Req_Generales!F13</f>
        <v>0</v>
      </c>
      <c r="D19" s="71">
        <f t="shared" si="0"/>
        <v>0</v>
      </c>
      <c r="E19" s="71">
        <f t="shared" si="1"/>
        <v>0</v>
      </c>
      <c r="F19" s="16" t="str">
        <f>Req_Generales!B13</f>
        <v>Pendiente</v>
      </c>
      <c r="G19" s="72"/>
      <c r="H19" s="72"/>
      <c r="I19" s="72"/>
      <c r="J19" s="72"/>
      <c r="K19" s="72"/>
      <c r="L19" s="72"/>
      <c r="M19" s="72"/>
      <c r="N19" s="72"/>
      <c r="O19" s="72"/>
      <c r="P19" s="72"/>
      <c r="Q19" s="72"/>
      <c r="R19" s="72"/>
      <c r="S19" s="72"/>
      <c r="T19" s="72"/>
      <c r="U19" s="72"/>
      <c r="V19" s="72"/>
      <c r="W19" s="72"/>
      <c r="X19" s="72"/>
      <c r="Y19" s="72"/>
      <c r="Z19" s="72"/>
    </row>
    <row r="20" spans="1:26" ht="22" customHeight="1" x14ac:dyDescent="0.2">
      <c r="A20" s="70">
        <v>10</v>
      </c>
      <c r="B20" s="57" t="str">
        <f>Req_Generales!C14</f>
        <v>El SAT no haya interpuesto querella, denuncia penal o declaratoria de perjuicio contra socios/administración en los últimos 3 años</v>
      </c>
      <c r="C20" s="58">
        <f>Req_Generales!F14</f>
        <v>0</v>
      </c>
      <c r="D20" s="73">
        <f t="shared" si="0"/>
        <v>0</v>
      </c>
      <c r="E20" s="73">
        <f t="shared" si="1"/>
        <v>0</v>
      </c>
      <c r="F20" s="74" t="str">
        <f>Req_Generales!B14</f>
        <v>Pendiente</v>
      </c>
      <c r="G20" s="75"/>
      <c r="H20" s="75"/>
      <c r="I20" s="75"/>
      <c r="J20" s="75"/>
      <c r="K20" s="75"/>
      <c r="L20" s="75"/>
      <c r="M20" s="75"/>
      <c r="N20" s="75"/>
      <c r="O20" s="75"/>
      <c r="P20" s="75"/>
      <c r="Q20" s="75"/>
      <c r="R20" s="75"/>
      <c r="S20" s="75"/>
      <c r="T20" s="75"/>
      <c r="U20" s="75"/>
      <c r="V20" s="75"/>
      <c r="W20" s="75"/>
      <c r="X20" s="75"/>
      <c r="Y20" s="75"/>
      <c r="Z20" s="75"/>
    </row>
    <row r="21" spans="1:26" ht="20" customHeight="1" x14ac:dyDescent="0.2">
      <c r="A21" s="64"/>
      <c r="B21" s="65" t="s">
        <v>52</v>
      </c>
      <c r="C21" s="66" t="s">
        <v>48</v>
      </c>
      <c r="D21" s="67"/>
      <c r="E21" s="67"/>
      <c r="F21" s="68" t="s">
        <v>49</v>
      </c>
      <c r="G21" s="69"/>
      <c r="H21" s="69"/>
      <c r="I21" s="69"/>
      <c r="J21" s="69"/>
      <c r="K21" s="69"/>
      <c r="L21" s="69"/>
      <c r="M21" s="69"/>
      <c r="N21" s="69"/>
      <c r="O21" s="69"/>
      <c r="P21" s="69"/>
      <c r="Q21" s="69"/>
      <c r="R21" s="69"/>
      <c r="S21" s="69"/>
      <c r="T21" s="69"/>
      <c r="U21" s="69"/>
      <c r="V21" s="69"/>
      <c r="W21" s="69"/>
      <c r="X21" s="69"/>
      <c r="Y21" s="69"/>
      <c r="Z21" s="69"/>
    </row>
    <row r="22" spans="1:26" ht="22" customHeight="1" x14ac:dyDescent="0.2">
      <c r="A22" s="70">
        <v>11</v>
      </c>
      <c r="B22" s="55" t="str">
        <f>Req_Generales!C16</f>
        <v>Tener registrados ante el SAT todos los domicilios vinculados al Programa IMMEX o actividades de comercio exterior</v>
      </c>
      <c r="C22" s="56">
        <f>Req_Generales!F16</f>
        <v>0</v>
      </c>
      <c r="D22" s="71">
        <f>$D$21</f>
        <v>0</v>
      </c>
      <c r="E22" s="71">
        <f>$E$21</f>
        <v>0</v>
      </c>
      <c r="F22" s="16" t="str">
        <f>Req_Generales!B16</f>
        <v>Pendiente</v>
      </c>
      <c r="G22" s="72"/>
      <c r="H22" s="72"/>
      <c r="I22" s="72"/>
      <c r="J22" s="72"/>
      <c r="K22" s="72"/>
      <c r="L22" s="72"/>
      <c r="M22" s="72"/>
      <c r="N22" s="72"/>
      <c r="O22" s="72"/>
      <c r="P22" s="72"/>
      <c r="Q22" s="72"/>
      <c r="R22" s="72"/>
      <c r="S22" s="72"/>
      <c r="T22" s="72"/>
      <c r="U22" s="72"/>
      <c r="V22" s="72"/>
      <c r="W22" s="72"/>
      <c r="X22" s="72"/>
      <c r="Y22" s="72"/>
      <c r="Z22" s="72"/>
    </row>
    <row r="23" spans="1:26" ht="22" customHeight="1" x14ac:dyDescent="0.2">
      <c r="A23" s="70">
        <v>12</v>
      </c>
      <c r="B23" s="57" t="str">
        <f>Req_Generales!C17</f>
        <v>Legal uso o goce del inmueble donde se realizan los procesos con vigencia forzosa mínima de 1 año y al menos 8 meses restantes a la solicitud</v>
      </c>
      <c r="C23" s="58">
        <f>Req_Generales!F17</f>
        <v>0</v>
      </c>
      <c r="D23" s="73">
        <f>$D$21</f>
        <v>0</v>
      </c>
      <c r="E23" s="73">
        <f>$E$21</f>
        <v>0</v>
      </c>
      <c r="F23" s="74" t="str">
        <f>Req_Generales!B17</f>
        <v>Pendiente</v>
      </c>
      <c r="G23" s="75"/>
      <c r="H23" s="75"/>
      <c r="I23" s="75"/>
      <c r="J23" s="75"/>
      <c r="K23" s="75"/>
      <c r="L23" s="75"/>
      <c r="M23" s="75"/>
      <c r="N23" s="75"/>
      <c r="O23" s="75"/>
      <c r="P23" s="75"/>
      <c r="Q23" s="75"/>
      <c r="R23" s="75"/>
      <c r="S23" s="75"/>
      <c r="T23" s="75"/>
      <c r="U23" s="75"/>
      <c r="V23" s="75"/>
      <c r="W23" s="75"/>
      <c r="X23" s="75"/>
      <c r="Y23" s="75"/>
      <c r="Z23" s="75"/>
    </row>
    <row r="24" spans="1:26" ht="22" customHeight="1" x14ac:dyDescent="0.2">
      <c r="A24" s="70">
        <v>13</v>
      </c>
      <c r="B24" s="55" t="str">
        <f>Req_Generales!C18</f>
        <v>Permitir en todo momento el acceso de la AGACE para visitas de inspección inicial y supervisión de cumplimiento</v>
      </c>
      <c r="C24" s="56">
        <f>Req_Generales!F18</f>
        <v>0</v>
      </c>
      <c r="D24" s="71">
        <f>$D$21</f>
        <v>0</v>
      </c>
      <c r="E24" s="71">
        <f>$E$21</f>
        <v>0</v>
      </c>
      <c r="F24" s="16" t="str">
        <f>Req_Generales!B18</f>
        <v>Pendiente</v>
      </c>
      <c r="G24" s="72"/>
      <c r="H24" s="72"/>
      <c r="I24" s="72"/>
      <c r="J24" s="72"/>
      <c r="K24" s="72"/>
      <c r="L24" s="72"/>
      <c r="M24" s="72"/>
      <c r="N24" s="72"/>
      <c r="O24" s="72"/>
      <c r="P24" s="72"/>
      <c r="Q24" s="72"/>
      <c r="R24" s="72"/>
      <c r="S24" s="72"/>
      <c r="T24" s="72"/>
      <c r="U24" s="72"/>
      <c r="V24" s="72"/>
      <c r="W24" s="72"/>
      <c r="X24" s="72"/>
      <c r="Y24" s="72"/>
      <c r="Z24" s="72"/>
    </row>
    <row r="25" spans="1:26" ht="22" customHeight="1" x14ac:dyDescent="0.2">
      <c r="A25" s="70">
        <v>14</v>
      </c>
      <c r="B25" s="57" t="str">
        <f>Req_Generales!C19</f>
        <v>No estar suspendido en el Padrón de Importadores, Padrón de Importadores de Sectores Específicos o Padrón de Exportadores Sectorial</v>
      </c>
      <c r="C25" s="58">
        <f>Req_Generales!F19</f>
        <v>0</v>
      </c>
      <c r="D25" s="73">
        <f>$D$21</f>
        <v>0</v>
      </c>
      <c r="E25" s="73">
        <f>$E$21</f>
        <v>0</v>
      </c>
      <c r="F25" s="74" t="str">
        <f>Req_Generales!B19</f>
        <v>Pendiente</v>
      </c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</row>
    <row r="26" spans="1:26" ht="20" customHeight="1" x14ac:dyDescent="0.2">
      <c r="A26" s="64"/>
      <c r="B26" s="65" t="s">
        <v>53</v>
      </c>
      <c r="C26" s="66" t="s">
        <v>48</v>
      </c>
      <c r="D26" s="67"/>
      <c r="E26" s="67"/>
      <c r="F26" s="68" t="s">
        <v>49</v>
      </c>
      <c r="G26" s="69"/>
      <c r="H26" s="69"/>
      <c r="I26" s="69"/>
      <c r="J26" s="69"/>
      <c r="K26" s="69"/>
      <c r="L26" s="69"/>
      <c r="M26" s="69"/>
      <c r="N26" s="69"/>
      <c r="O26" s="69"/>
      <c r="P26" s="69"/>
      <c r="Q26" s="69"/>
      <c r="R26" s="69"/>
      <c r="S26" s="69"/>
      <c r="T26" s="69"/>
      <c r="U26" s="69"/>
      <c r="V26" s="69"/>
      <c r="W26" s="69"/>
      <c r="X26" s="69"/>
      <c r="Y26" s="69"/>
      <c r="Z26" s="69"/>
    </row>
    <row r="27" spans="1:26" ht="22" customHeight="1" x14ac:dyDescent="0.2">
      <c r="A27" s="70">
        <v>15</v>
      </c>
      <c r="B27" s="55" t="str">
        <f>Req_Generales!C21</f>
        <v>Clientes y proveedores en el extranjero con operaciones de comercio exterior en los últimos 12 meses</v>
      </c>
      <c r="C27" s="56">
        <f>Req_Generales!F21</f>
        <v>0</v>
      </c>
      <c r="D27" s="71">
        <f t="shared" ref="D27:D32" si="2">$D$26</f>
        <v>0</v>
      </c>
      <c r="E27" s="71">
        <f t="shared" ref="E27:E32" si="3">$E$26</f>
        <v>0</v>
      </c>
      <c r="F27" s="16" t="str">
        <f>Req_Generales!B21</f>
        <v>Pendiente</v>
      </c>
      <c r="G27" s="72"/>
      <c r="H27" s="72"/>
      <c r="I27" s="72"/>
      <c r="J27" s="72"/>
      <c r="K27" s="72"/>
      <c r="L27" s="72"/>
      <c r="M27" s="72"/>
      <c r="N27" s="72"/>
      <c r="O27" s="72"/>
      <c r="P27" s="72"/>
      <c r="Q27" s="72"/>
      <c r="R27" s="72"/>
      <c r="S27" s="72"/>
      <c r="T27" s="72"/>
      <c r="U27" s="72"/>
      <c r="V27" s="72"/>
      <c r="W27" s="72"/>
      <c r="X27" s="72"/>
      <c r="Y27" s="72"/>
      <c r="Z27" s="72"/>
    </row>
    <row r="28" spans="1:26" ht="22" customHeight="1" x14ac:dyDescent="0.2">
      <c r="A28" s="70">
        <v>16</v>
      </c>
      <c r="B28" s="57" t="str">
        <f>Req_Generales!C22</f>
        <v>En su caso, proveedores de insumos en territorio nacional vinculados al proceso en los últimos 6 meses</v>
      </c>
      <c r="C28" s="58">
        <f>Req_Generales!F22</f>
        <v>0</v>
      </c>
      <c r="D28" s="73">
        <f t="shared" si="2"/>
        <v>0</v>
      </c>
      <c r="E28" s="73">
        <f t="shared" si="3"/>
        <v>0</v>
      </c>
      <c r="F28" s="74" t="str">
        <f>Req_Generales!B22</f>
        <v>Pendiente</v>
      </c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</row>
    <row r="29" spans="1:26" ht="22" customHeight="1" x14ac:dyDescent="0.2">
      <c r="A29" s="70">
        <v>17</v>
      </c>
      <c r="B29" s="55" t="str">
        <f>Req_Generales!C23</f>
        <v>Llevar control de inventarios conforme al art. 59 fracc. I Ley Aduanera y Anexo 24 Apartado C</v>
      </c>
      <c r="C29" s="56">
        <f>Req_Generales!F23</f>
        <v>0</v>
      </c>
      <c r="D29" s="71">
        <f t="shared" si="2"/>
        <v>0</v>
      </c>
      <c r="E29" s="71">
        <f t="shared" si="3"/>
        <v>0</v>
      </c>
      <c r="F29" s="16" t="str">
        <f>Req_Generales!B23</f>
        <v>Pendiente</v>
      </c>
      <c r="G29" s="72"/>
      <c r="H29" s="72"/>
      <c r="I29" s="72"/>
      <c r="J29" s="72"/>
      <c r="K29" s="72"/>
      <c r="L29" s="72"/>
      <c r="M29" s="72"/>
      <c r="N29" s="72"/>
      <c r="O29" s="72"/>
      <c r="P29" s="72"/>
      <c r="Q29" s="72"/>
      <c r="R29" s="72"/>
      <c r="S29" s="72"/>
      <c r="T29" s="72"/>
      <c r="U29" s="72"/>
      <c r="V29" s="72"/>
      <c r="W29" s="72"/>
      <c r="X29" s="72"/>
      <c r="Y29" s="72"/>
      <c r="Z29" s="72"/>
    </row>
    <row r="30" spans="1:26" ht="22" customHeight="1" x14ac:dyDescent="0.2">
      <c r="A30" s="70">
        <v>18</v>
      </c>
      <c r="B30" s="57" t="str">
        <f>Req_Generales!C24</f>
        <v>Llevar contabilidad en medios electrónicos e ingresarla mensualmente al Portal SAT (CFF arts. 28 fracc. III y IV; RMF 2.8.1.5. y 2.8.1.6.)</v>
      </c>
      <c r="C30" s="58">
        <f>Req_Generales!F24</f>
        <v>0</v>
      </c>
      <c r="D30" s="73">
        <f t="shared" si="2"/>
        <v>0</v>
      </c>
      <c r="E30" s="73">
        <f t="shared" si="3"/>
        <v>0</v>
      </c>
      <c r="F30" s="74" t="str">
        <f>Req_Generales!B24</f>
        <v>Pendiente</v>
      </c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</row>
    <row r="31" spans="1:26" ht="22" customHeight="1" x14ac:dyDescent="0.2">
      <c r="A31" s="70">
        <v>19</v>
      </c>
      <c r="B31" s="55" t="str">
        <f>Req_Generales!C25</f>
        <v>Contar con buzón tributario actualizado — estatus 'Validado' (CFF art. 17-K)</v>
      </c>
      <c r="C31" s="56">
        <f>Req_Generales!F25</f>
        <v>0</v>
      </c>
      <c r="D31" s="71">
        <f t="shared" si="2"/>
        <v>0</v>
      </c>
      <c r="E31" s="71">
        <f t="shared" si="3"/>
        <v>0</v>
      </c>
      <c r="F31" s="16" t="str">
        <f>Req_Generales!B25</f>
        <v>Pendiente</v>
      </c>
      <c r="G31" s="72"/>
      <c r="H31" s="72"/>
      <c r="I31" s="72"/>
      <c r="J31" s="72"/>
      <c r="K31" s="72"/>
      <c r="L31" s="72"/>
      <c r="M31" s="72"/>
      <c r="N31" s="72"/>
      <c r="O31" s="72"/>
      <c r="P31" s="72"/>
      <c r="Q31" s="72"/>
      <c r="R31" s="72"/>
      <c r="S31" s="72"/>
      <c r="T31" s="72"/>
      <c r="U31" s="72"/>
      <c r="V31" s="72"/>
      <c r="W31" s="72"/>
      <c r="X31" s="72"/>
      <c r="Y31" s="72"/>
      <c r="Z31" s="72"/>
    </row>
    <row r="32" spans="1:26" ht="22" customHeight="1" x14ac:dyDescent="0.2">
      <c r="A32" s="70">
        <v>20</v>
      </c>
      <c r="B32" s="57" t="str">
        <f>Req_Generales!C26</f>
        <v>Haber realizado el pago de derechos art. 40 inciso m) LFD (Anexo 4 RMF 2026)</v>
      </c>
      <c r="C32" s="58">
        <f>Req_Generales!F26</f>
        <v>0</v>
      </c>
      <c r="D32" s="73">
        <f t="shared" si="2"/>
        <v>0</v>
      </c>
      <c r="E32" s="73">
        <f t="shared" si="3"/>
        <v>0</v>
      </c>
      <c r="F32" s="74" t="str">
        <f>Req_Generales!B26</f>
        <v>Pendiente</v>
      </c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</row>
    <row r="33" spans="1:26" ht="20" customHeight="1" x14ac:dyDescent="0.2">
      <c r="A33" s="64"/>
      <c r="B33" s="65" t="s">
        <v>54</v>
      </c>
      <c r="C33" s="66" t="s">
        <v>48</v>
      </c>
      <c r="D33" s="67"/>
      <c r="E33" s="67"/>
      <c r="F33" s="68" t="s">
        <v>49</v>
      </c>
      <c r="G33" s="69"/>
      <c r="H33" s="69"/>
      <c r="I33" s="69"/>
      <c r="J33" s="69"/>
      <c r="K33" s="69"/>
      <c r="L33" s="69"/>
      <c r="M33" s="69"/>
      <c r="N33" s="69"/>
      <c r="O33" s="69"/>
      <c r="P33" s="69"/>
      <c r="Q33" s="69"/>
      <c r="R33" s="69"/>
      <c r="S33" s="69"/>
      <c r="T33" s="69"/>
      <c r="U33" s="69"/>
      <c r="V33" s="69"/>
      <c r="W33" s="69"/>
      <c r="X33" s="69"/>
      <c r="Y33" s="69"/>
      <c r="Z33" s="69"/>
    </row>
    <row r="34" spans="1:26" ht="22" customHeight="1" x14ac:dyDescent="0.2">
      <c r="A34" s="70">
        <v>21</v>
      </c>
      <c r="B34" s="55" t="str">
        <f>Req_Generales!C28</f>
        <v>Personal registrado ante el IMSS para el proceso productivo/servicio; al corriente en cuotas obrero-patronales; retener y enterar ISR de trabajadores</v>
      </c>
      <c r="C34" s="56">
        <f>Req_Generales!F28</f>
        <v>0</v>
      </c>
      <c r="D34" s="71">
        <f>$D$33</f>
        <v>0</v>
      </c>
      <c r="E34" s="71">
        <f>$E$33</f>
        <v>0</v>
      </c>
      <c r="F34" s="16" t="str">
        <f>Req_Generales!B28</f>
        <v>Pendiente</v>
      </c>
      <c r="G34" s="72"/>
      <c r="H34" s="72"/>
      <c r="I34" s="72"/>
      <c r="J34" s="72"/>
      <c r="K34" s="72"/>
      <c r="L34" s="72"/>
      <c r="M34" s="72"/>
      <c r="N34" s="72"/>
      <c r="O34" s="72"/>
      <c r="P34" s="72"/>
      <c r="Q34" s="72"/>
      <c r="R34" s="72"/>
      <c r="S34" s="72"/>
      <c r="T34" s="72"/>
      <c r="U34" s="72"/>
      <c r="V34" s="72"/>
      <c r="W34" s="72"/>
      <c r="X34" s="72"/>
      <c r="Y34" s="72"/>
      <c r="Z34" s="72"/>
    </row>
    <row r="35" spans="1:26" ht="22" customHeight="1" x14ac:dyDescent="0.2">
      <c r="A35" s="70">
        <v>22</v>
      </c>
      <c r="B35" s="57" t="str">
        <f>Req_Generales!C29</f>
        <v>En caso de subcontratación de servicios especializados, cumplir con art. 27 fracc. V tercer párrafo de la Ley del ISR</v>
      </c>
      <c r="C35" s="58">
        <f>Req_Generales!F29</f>
        <v>0</v>
      </c>
      <c r="D35" s="73">
        <f>$D$33</f>
        <v>0</v>
      </c>
      <c r="E35" s="73">
        <f>$E$33</f>
        <v>0</v>
      </c>
      <c r="F35" s="74" t="str">
        <f>Req_Generales!B29</f>
        <v>Pendiente</v>
      </c>
      <c r="G35" s="75"/>
      <c r="H35" s="75"/>
      <c r="I35" s="75"/>
      <c r="J35" s="75"/>
      <c r="K35" s="75"/>
      <c r="L35" s="75"/>
      <c r="M35" s="75"/>
      <c r="N35" s="75"/>
      <c r="O35" s="75"/>
      <c r="P35" s="75"/>
      <c r="Q35" s="75"/>
      <c r="R35" s="75"/>
      <c r="S35" s="75"/>
      <c r="T35" s="75"/>
      <c r="U35" s="75"/>
      <c r="V35" s="75"/>
      <c r="W35" s="75"/>
      <c r="X35" s="75"/>
      <c r="Y35" s="75"/>
      <c r="Z35" s="75"/>
    </row>
    <row r="36" spans="1:26" ht="18" customHeight="1" x14ac:dyDescent="0.2">
      <c r="A36" s="152" t="s">
        <v>55</v>
      </c>
      <c r="B36" s="96"/>
      <c r="C36" s="96"/>
      <c r="D36" s="96"/>
      <c r="E36" s="96"/>
      <c r="F36" s="96"/>
      <c r="G36" s="96"/>
      <c r="H36" s="96"/>
      <c r="I36" s="96"/>
      <c r="J36" s="96"/>
      <c r="K36" s="96"/>
      <c r="L36" s="96"/>
      <c r="M36" s="96"/>
      <c r="N36" s="96"/>
      <c r="O36" s="96"/>
      <c r="P36" s="96"/>
      <c r="Q36" s="96"/>
      <c r="R36" s="96"/>
      <c r="S36" s="96"/>
      <c r="T36" s="96"/>
      <c r="U36" s="96"/>
      <c r="V36" s="96"/>
      <c r="W36" s="96"/>
      <c r="X36" s="96"/>
      <c r="Y36" s="96"/>
      <c r="Z36" s="96"/>
    </row>
    <row r="37" spans="1:26" ht="20" customHeight="1" x14ac:dyDescent="0.2">
      <c r="A37" s="64"/>
      <c r="B37" s="65" t="s">
        <v>56</v>
      </c>
      <c r="C37" s="66" t="s">
        <v>48</v>
      </c>
      <c r="D37" s="67"/>
      <c r="E37" s="67"/>
      <c r="F37" s="68" t="s">
        <v>49</v>
      </c>
      <c r="G37" s="69"/>
      <c r="H37" s="69"/>
      <c r="I37" s="69"/>
      <c r="J37" s="69"/>
      <c r="K37" s="69"/>
      <c r="L37" s="69"/>
      <c r="M37" s="69"/>
      <c r="N37" s="69"/>
      <c r="O37" s="69"/>
      <c r="P37" s="69"/>
      <c r="Q37" s="69"/>
      <c r="R37" s="69"/>
      <c r="S37" s="69"/>
      <c r="T37" s="69"/>
      <c r="U37" s="69"/>
      <c r="V37" s="69"/>
      <c r="W37" s="69"/>
      <c r="X37" s="69"/>
      <c r="Y37" s="69"/>
      <c r="Z37" s="69"/>
    </row>
    <row r="38" spans="1:26" ht="20" customHeight="1" x14ac:dyDescent="0.2">
      <c r="A38" s="64"/>
      <c r="B38" s="65" t="s">
        <v>50</v>
      </c>
      <c r="C38" s="66" t="s">
        <v>48</v>
      </c>
      <c r="D38" s="67"/>
      <c r="E38" s="67"/>
      <c r="F38" s="68" t="s">
        <v>49</v>
      </c>
      <c r="G38" s="69"/>
      <c r="H38" s="69"/>
      <c r="I38" s="69"/>
      <c r="J38" s="69"/>
      <c r="K38" s="69"/>
      <c r="L38" s="69"/>
      <c r="M38" s="69"/>
      <c r="N38" s="69"/>
      <c r="O38" s="69"/>
      <c r="P38" s="69"/>
      <c r="Q38" s="69"/>
      <c r="R38" s="69"/>
      <c r="S38" s="69"/>
      <c r="T38" s="69"/>
      <c r="U38" s="69"/>
      <c r="V38" s="69"/>
      <c r="W38" s="69"/>
      <c r="X38" s="69"/>
      <c r="Y38" s="69"/>
      <c r="Z38" s="69"/>
    </row>
    <row r="39" spans="1:26" ht="20" customHeight="1" x14ac:dyDescent="0.2">
      <c r="A39" s="64"/>
      <c r="B39" s="65" t="s">
        <v>57</v>
      </c>
      <c r="C39" s="66" t="s">
        <v>48</v>
      </c>
      <c r="D39" s="67"/>
      <c r="E39" s="67"/>
      <c r="F39" s="68" t="s">
        <v>49</v>
      </c>
      <c r="G39" s="69"/>
      <c r="H39" s="69"/>
      <c r="I39" s="69"/>
      <c r="J39" s="69"/>
      <c r="K39" s="69"/>
      <c r="L39" s="69"/>
      <c r="M39" s="69"/>
      <c r="N39" s="69"/>
      <c r="O39" s="69"/>
      <c r="P39" s="69"/>
      <c r="Q39" s="69"/>
      <c r="R39" s="69"/>
      <c r="S39" s="69"/>
      <c r="T39" s="69"/>
      <c r="U39" s="69"/>
      <c r="V39" s="69"/>
      <c r="W39" s="69"/>
      <c r="X39" s="69"/>
      <c r="Y39" s="69"/>
      <c r="Z39" s="69"/>
    </row>
    <row r="40" spans="1:26" ht="22" customHeight="1" x14ac:dyDescent="0.2">
      <c r="A40" s="70">
        <v>23</v>
      </c>
      <c r="B40" s="55" t="str">
        <f>Req_Rubro!C5</f>
        <v>Presentar solicitud mediante ficha de trámite 61/LA (Anexo 2)</v>
      </c>
      <c r="C40" s="56">
        <f>Req_Rubro!F5</f>
        <v>0</v>
      </c>
      <c r="D40" s="71">
        <f t="shared" ref="D40:D49" si="4">$D$39</f>
        <v>0</v>
      </c>
      <c r="E40" s="71">
        <f t="shared" ref="E40:E49" si="5">$E$39</f>
        <v>0</v>
      </c>
      <c r="F40" s="16" t="str">
        <f>Req_Rubro!B5</f>
        <v>Pendiente</v>
      </c>
      <c r="G40" s="72"/>
      <c r="H40" s="72"/>
      <c r="I40" s="72"/>
      <c r="J40" s="72"/>
      <c r="K40" s="72"/>
      <c r="L40" s="72"/>
      <c r="M40" s="72"/>
      <c r="N40" s="72"/>
      <c r="O40" s="72"/>
      <c r="P40" s="72"/>
      <c r="Q40" s="72"/>
      <c r="R40" s="72"/>
      <c r="S40" s="72"/>
      <c r="T40" s="72"/>
      <c r="U40" s="72"/>
      <c r="V40" s="72"/>
      <c r="W40" s="72"/>
      <c r="X40" s="72"/>
      <c r="Y40" s="72"/>
      <c r="Z40" s="72"/>
    </row>
    <row r="41" spans="1:26" ht="22" customHeight="1" x14ac:dyDescent="0.2">
      <c r="A41" s="70">
        <v>24</v>
      </c>
      <c r="B41" s="57" t="str">
        <f>Req_Rubro!C6</f>
        <v>Mínimo 10 trabajadores registrados ante el IMSS y pago total de cuotas obrero-patronales</v>
      </c>
      <c r="C41" s="58">
        <f>Req_Rubro!F6</f>
        <v>0</v>
      </c>
      <c r="D41" s="73">
        <f t="shared" si="4"/>
        <v>0</v>
      </c>
      <c r="E41" s="73">
        <f t="shared" si="5"/>
        <v>0</v>
      </c>
      <c r="F41" s="74" t="str">
        <f>Req_Rubro!B6</f>
        <v>Pendiente</v>
      </c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</row>
    <row r="42" spans="1:26" ht="22" customHeight="1" x14ac:dyDescent="0.2">
      <c r="A42" s="70">
        <v>25</v>
      </c>
      <c r="B42" s="55" t="str">
        <f>Req_Rubro!C7</f>
        <v>Acreditar inversión en territorio nacional</v>
      </c>
      <c r="C42" s="56">
        <f>Req_Rubro!F7</f>
        <v>0</v>
      </c>
      <c r="D42" s="71">
        <f t="shared" si="4"/>
        <v>0</v>
      </c>
      <c r="E42" s="71">
        <f t="shared" si="5"/>
        <v>0</v>
      </c>
      <c r="F42" s="16" t="str">
        <f>Req_Rubro!B7</f>
        <v>Pendiente</v>
      </c>
      <c r="G42" s="72"/>
      <c r="H42" s="72"/>
      <c r="I42" s="72"/>
      <c r="J42" s="72"/>
      <c r="K42" s="72"/>
      <c r="L42" s="72"/>
      <c r="M42" s="72"/>
      <c r="N42" s="72"/>
      <c r="O42" s="72"/>
      <c r="P42" s="72"/>
      <c r="Q42" s="72"/>
      <c r="R42" s="72"/>
      <c r="S42" s="72"/>
      <c r="T42" s="72"/>
      <c r="U42" s="72"/>
      <c r="V42" s="72"/>
      <c r="W42" s="72"/>
      <c r="X42" s="72"/>
      <c r="Y42" s="72"/>
      <c r="Z42" s="72"/>
    </row>
    <row r="43" spans="1:26" ht="22" customHeight="1" x14ac:dyDescent="0.2">
      <c r="A43" s="70">
        <v>26</v>
      </c>
      <c r="B43" s="57" t="str">
        <f>Req_Rubro!C8</f>
        <v>Si anteriormente tuvo el registro o garantizó el interés fiscal, estar al corriente con obligaciones del Anexo 30 (SCCCyG)</v>
      </c>
      <c r="C43" s="58">
        <f>Req_Rubro!F8</f>
        <v>0</v>
      </c>
      <c r="D43" s="73">
        <f t="shared" si="4"/>
        <v>0</v>
      </c>
      <c r="E43" s="73">
        <f t="shared" si="5"/>
        <v>0</v>
      </c>
      <c r="F43" s="74" t="str">
        <f>Req_Rubro!B8</f>
        <v>Pendiente</v>
      </c>
      <c r="G43" s="75"/>
      <c r="H43" s="75"/>
      <c r="I43" s="75"/>
      <c r="J43" s="75"/>
      <c r="K43" s="75"/>
      <c r="L43" s="75"/>
      <c r="M43" s="75"/>
      <c r="N43" s="75"/>
      <c r="O43" s="75"/>
      <c r="P43" s="75"/>
      <c r="Q43" s="75"/>
      <c r="R43" s="75"/>
      <c r="S43" s="75"/>
      <c r="T43" s="75"/>
      <c r="U43" s="75"/>
      <c r="V43" s="75"/>
      <c r="W43" s="75"/>
      <c r="X43" s="75"/>
      <c r="Y43" s="75"/>
      <c r="Z43" s="75"/>
    </row>
    <row r="44" spans="1:26" ht="22" customHeight="1" x14ac:dyDescent="0.2">
      <c r="A44" s="70">
        <v>27</v>
      </c>
      <c r="B44" s="55" t="str">
        <f>Req_Rubro!C9</f>
        <v>Proveedores no incluidos en listados SAT arts. 49 Bis fracc. X o 69-B cuarto párrafo CFF</v>
      </c>
      <c r="C44" s="56">
        <f>Req_Rubro!F9</f>
        <v>0</v>
      </c>
      <c r="D44" s="71">
        <f t="shared" si="4"/>
        <v>0</v>
      </c>
      <c r="E44" s="71">
        <f t="shared" si="5"/>
        <v>0</v>
      </c>
      <c r="F44" s="16" t="str">
        <f>Req_Rubro!B9</f>
        <v>Pendiente</v>
      </c>
      <c r="G44" s="72"/>
      <c r="H44" s="72"/>
      <c r="I44" s="72"/>
      <c r="J44" s="72"/>
      <c r="K44" s="72"/>
      <c r="L44" s="72"/>
      <c r="M44" s="72"/>
      <c r="N44" s="72"/>
      <c r="O44" s="72"/>
      <c r="P44" s="72"/>
      <c r="Q44" s="72"/>
      <c r="R44" s="72"/>
      <c r="S44" s="72"/>
      <c r="T44" s="72"/>
      <c r="U44" s="72"/>
      <c r="V44" s="72"/>
      <c r="W44" s="72"/>
      <c r="X44" s="72"/>
      <c r="Y44" s="72"/>
      <c r="Z44" s="72"/>
    </row>
    <row r="45" spans="1:26" ht="22" customHeight="1" x14ac:dyDescent="0.2">
      <c r="A45" s="70">
        <v>28</v>
      </c>
      <c r="B45" s="57" t="str">
        <f>Req_Rubro!C10</f>
        <v>Contar con Programa IMMEX vigente</v>
      </c>
      <c r="C45" s="58">
        <f>Req_Rubro!F10</f>
        <v>0</v>
      </c>
      <c r="D45" s="73">
        <f t="shared" si="4"/>
        <v>0</v>
      </c>
      <c r="E45" s="73">
        <f t="shared" si="5"/>
        <v>0</v>
      </c>
      <c r="F45" s="74" t="str">
        <f>Req_Rubro!B10</f>
        <v>Pendiente</v>
      </c>
      <c r="G45" s="75"/>
      <c r="H45" s="75"/>
      <c r="I45" s="75"/>
      <c r="J45" s="75"/>
      <c r="K45" s="75"/>
      <c r="L45" s="75"/>
      <c r="M45" s="75"/>
      <c r="N45" s="75"/>
      <c r="O45" s="75"/>
      <c r="P45" s="75"/>
      <c r="Q45" s="75"/>
      <c r="R45" s="75"/>
      <c r="S45" s="75"/>
      <c r="T45" s="75"/>
      <c r="U45" s="75"/>
      <c r="V45" s="75"/>
      <c r="W45" s="75"/>
      <c r="X45" s="75"/>
      <c r="Y45" s="75"/>
      <c r="Z45" s="75"/>
    </row>
    <row r="46" spans="1:26" ht="22" customHeight="1" x14ac:dyDescent="0.2">
      <c r="A46" s="70">
        <v>29</v>
      </c>
      <c r="B46" s="55" t="str">
        <f>Req_Rubro!C11</f>
        <v>Infraestructura suficiente para realizar la operación del Programa IMMEX conforme a su modalidad</v>
      </c>
      <c r="C46" s="56">
        <f>Req_Rubro!F11</f>
        <v>0</v>
      </c>
      <c r="D46" s="71">
        <f t="shared" si="4"/>
        <v>0</v>
      </c>
      <c r="E46" s="71">
        <f t="shared" si="5"/>
        <v>0</v>
      </c>
      <c r="F46" s="16" t="str">
        <f>Req_Rubro!B11</f>
        <v>Pendiente</v>
      </c>
      <c r="G46" s="72"/>
      <c r="H46" s="72"/>
      <c r="I46" s="72"/>
      <c r="J46" s="72"/>
      <c r="K46" s="72"/>
      <c r="L46" s="72"/>
      <c r="M46" s="72"/>
      <c r="N46" s="72"/>
      <c r="O46" s="72"/>
      <c r="P46" s="72"/>
      <c r="Q46" s="72"/>
      <c r="R46" s="72"/>
      <c r="S46" s="72"/>
      <c r="T46" s="72"/>
      <c r="U46" s="72"/>
      <c r="V46" s="72"/>
      <c r="W46" s="72"/>
      <c r="X46" s="72"/>
      <c r="Y46" s="72"/>
      <c r="Z46" s="72"/>
    </row>
    <row r="47" spans="1:26" ht="22" customHeight="1" x14ac:dyDescent="0.2">
      <c r="A47" s="70">
        <v>30</v>
      </c>
      <c r="B47" s="57" t="str">
        <f>Req_Rubro!C12</f>
        <v>Haber importado temporalmente y retornado en los últimos 12 meses: ≥60% del valor total de importaciones temporales de insumos (elaboración/transformación/reparación) o ≥60% para otros objetos</v>
      </c>
      <c r="C47" s="58">
        <f>Req_Rubro!F12</f>
        <v>0</v>
      </c>
      <c r="D47" s="73">
        <f t="shared" si="4"/>
        <v>0</v>
      </c>
      <c r="E47" s="73">
        <f t="shared" si="5"/>
        <v>0</v>
      </c>
      <c r="F47" s="74" t="str">
        <f>Req_Rubro!B12</f>
        <v>Pendiente</v>
      </c>
      <c r="G47" s="75"/>
      <c r="H47" s="75"/>
      <c r="I47" s="75"/>
      <c r="J47" s="75"/>
      <c r="K47" s="75"/>
      <c r="L47" s="75"/>
      <c r="M47" s="75"/>
      <c r="N47" s="75"/>
      <c r="O47" s="75"/>
      <c r="P47" s="75"/>
      <c r="Q47" s="75"/>
      <c r="R47" s="75"/>
      <c r="S47" s="75"/>
      <c r="T47" s="75"/>
      <c r="U47" s="75"/>
      <c r="V47" s="75"/>
      <c r="W47" s="75"/>
      <c r="X47" s="75"/>
      <c r="Y47" s="75"/>
      <c r="Z47" s="75"/>
    </row>
    <row r="48" spans="1:26" ht="22" customHeight="1" x14ac:dyDescent="0.2">
      <c r="A48" s="70">
        <v>31</v>
      </c>
      <c r="B48" s="55" t="str">
        <f>Req_Rubro!C13</f>
        <v>Describir actividades del proceso productivo desde el arribo, almacenamiento, proceso y retorno de mercancías</v>
      </c>
      <c r="C48" s="56">
        <f>Req_Rubro!F13</f>
        <v>0</v>
      </c>
      <c r="D48" s="71">
        <f t="shared" si="4"/>
        <v>0</v>
      </c>
      <c r="E48" s="71">
        <f t="shared" si="5"/>
        <v>0</v>
      </c>
      <c r="F48" s="16" t="str">
        <f>Req_Rubro!B13</f>
        <v>Pendiente</v>
      </c>
      <c r="G48" s="72"/>
      <c r="H48" s="72"/>
      <c r="I48" s="72"/>
      <c r="J48" s="72"/>
      <c r="K48" s="72"/>
      <c r="L48" s="72"/>
      <c r="M48" s="72"/>
      <c r="N48" s="72"/>
      <c r="O48" s="72"/>
      <c r="P48" s="72"/>
      <c r="Q48" s="72"/>
      <c r="R48" s="72"/>
      <c r="S48" s="72"/>
      <c r="T48" s="72"/>
      <c r="U48" s="72"/>
      <c r="V48" s="72"/>
      <c r="W48" s="72"/>
      <c r="X48" s="72"/>
      <c r="Y48" s="72"/>
      <c r="Z48" s="72"/>
    </row>
    <row r="49" spans="1:26" ht="22" customHeight="1" x14ac:dyDescent="0.2">
      <c r="A49" s="70">
        <v>32</v>
      </c>
      <c r="B49" s="57" t="str">
        <f>Req_Rubro!C14</f>
        <v>Contrato de maquila, compraventa, orden de compra, servicios o pedidos en firme que acrediten continuidad del proyecto de exportación</v>
      </c>
      <c r="C49" s="58">
        <f>Req_Rubro!F14</f>
        <v>0</v>
      </c>
      <c r="D49" s="73">
        <f t="shared" si="4"/>
        <v>0</v>
      </c>
      <c r="E49" s="73">
        <f t="shared" si="5"/>
        <v>0</v>
      </c>
      <c r="F49" s="74" t="str">
        <f>Req_Rubro!B14</f>
        <v>Pendiente</v>
      </c>
      <c r="G49" s="75"/>
      <c r="H49" s="75"/>
      <c r="I49" s="75"/>
      <c r="J49" s="75"/>
      <c r="K49" s="75"/>
      <c r="L49" s="75"/>
      <c r="M49" s="75"/>
      <c r="N49" s="75"/>
      <c r="O49" s="75"/>
      <c r="P49" s="75"/>
      <c r="Q49" s="75"/>
      <c r="R49" s="75"/>
      <c r="S49" s="75"/>
      <c r="T49" s="75"/>
      <c r="U49" s="75"/>
      <c r="V49" s="75"/>
      <c r="W49" s="75"/>
      <c r="X49" s="75"/>
      <c r="Y49" s="75"/>
      <c r="Z49" s="75"/>
    </row>
    <row r="50" spans="1:26" ht="20" customHeight="1" x14ac:dyDescent="0.2">
      <c r="A50" s="64"/>
      <c r="B50" s="65" t="s">
        <v>58</v>
      </c>
      <c r="C50" s="66" t="s">
        <v>48</v>
      </c>
      <c r="D50" s="67"/>
      <c r="E50" s="67"/>
      <c r="F50" s="68" t="s">
        <v>49</v>
      </c>
      <c r="G50" s="69"/>
      <c r="H50" s="69"/>
      <c r="I50" s="69"/>
      <c r="J50" s="69"/>
      <c r="K50" s="69"/>
      <c r="L50" s="69"/>
      <c r="M50" s="69"/>
      <c r="N50" s="69"/>
      <c r="O50" s="69"/>
      <c r="P50" s="69"/>
      <c r="Q50" s="69"/>
      <c r="R50" s="69"/>
      <c r="S50" s="69"/>
      <c r="T50" s="69"/>
      <c r="U50" s="69"/>
      <c r="V50" s="69"/>
      <c r="W50" s="69"/>
      <c r="X50" s="69"/>
      <c r="Y50" s="69"/>
      <c r="Z50" s="69"/>
    </row>
    <row r="51" spans="1:26" ht="22" customHeight="1" x14ac:dyDescent="0.2">
      <c r="A51" s="70">
        <v>33</v>
      </c>
      <c r="B51" s="55" t="str">
        <f>Req_Rubro!C16</f>
        <v>≥4 años operando bajo el régimen solicitado, O promedio &gt;1,000 trabajadores en los últimos 12 meses, O maquinaria y equipo con valor &gt;$50,000,000 pesos</v>
      </c>
      <c r="C51" s="56">
        <f>Req_Rubro!F16</f>
        <v>0</v>
      </c>
      <c r="D51" s="71">
        <f>$D$50</f>
        <v>0</v>
      </c>
      <c r="E51" s="71">
        <f>$E$50</f>
        <v>0</v>
      </c>
      <c r="F51" s="16" t="str">
        <f>Req_Rubro!B16</f>
        <v>Pendiente</v>
      </c>
      <c r="G51" s="72"/>
      <c r="H51" s="72"/>
      <c r="I51" s="72"/>
      <c r="J51" s="72"/>
      <c r="K51" s="72"/>
      <c r="L51" s="72"/>
      <c r="M51" s="72"/>
      <c r="N51" s="72"/>
      <c r="O51" s="72"/>
      <c r="P51" s="72"/>
      <c r="Q51" s="72"/>
      <c r="R51" s="72"/>
      <c r="S51" s="72"/>
      <c r="T51" s="72"/>
      <c r="U51" s="72"/>
      <c r="V51" s="72"/>
      <c r="W51" s="72"/>
      <c r="X51" s="72"/>
      <c r="Y51" s="72"/>
      <c r="Z51" s="72"/>
    </row>
    <row r="52" spans="1:26" ht="22" customHeight="1" x14ac:dyDescent="0.2">
      <c r="A52" s="70">
        <v>34</v>
      </c>
      <c r="B52" s="57" t="str">
        <f>Req_Rubro!C17</f>
        <v>Sin crédito fiscal notificado por el SAT en los últimos 12 meses (o garantizado conforme art. 141 CFF / pago a plazos sin exceder 12 meses)</v>
      </c>
      <c r="C52" s="58">
        <f>Req_Rubro!F17</f>
        <v>0</v>
      </c>
      <c r="D52" s="73">
        <f>$D$50</f>
        <v>0</v>
      </c>
      <c r="E52" s="73">
        <f>$E$50</f>
        <v>0</v>
      </c>
      <c r="F52" s="74" t="str">
        <f>Req_Rubro!B17</f>
        <v>Pendiente</v>
      </c>
      <c r="G52" s="75"/>
      <c r="H52" s="75"/>
      <c r="I52" s="75"/>
      <c r="J52" s="75"/>
      <c r="K52" s="75"/>
      <c r="L52" s="75"/>
      <c r="M52" s="75"/>
      <c r="N52" s="75"/>
      <c r="O52" s="75"/>
      <c r="P52" s="75"/>
      <c r="Q52" s="75"/>
      <c r="R52" s="75"/>
      <c r="S52" s="75"/>
      <c r="T52" s="75"/>
      <c r="U52" s="75"/>
      <c r="V52" s="75"/>
      <c r="W52" s="75"/>
      <c r="X52" s="75"/>
      <c r="Y52" s="75"/>
      <c r="Z52" s="75"/>
    </row>
    <row r="53" spans="1:26" ht="22" customHeight="1" x14ac:dyDescent="0.2">
      <c r="A53" s="70">
        <v>35</v>
      </c>
      <c r="B53" s="55" t="str">
        <f>Req_Rubro!C18</f>
        <v>Sin resolución de improcedencia de devolución IVA &gt;20% del total autorizado y/o monto negado &gt;$5,000,000 pesos en los últimos 6 meses</v>
      </c>
      <c r="C53" s="56">
        <f>Req_Rubro!F18</f>
        <v>0</v>
      </c>
      <c r="D53" s="71">
        <f>$D$50</f>
        <v>0</v>
      </c>
      <c r="E53" s="71">
        <f>$E$50</f>
        <v>0</v>
      </c>
      <c r="F53" s="16" t="str">
        <f>Req_Rubro!B18</f>
        <v>Pendiente</v>
      </c>
      <c r="G53" s="72"/>
      <c r="H53" s="72"/>
      <c r="I53" s="72"/>
      <c r="J53" s="72"/>
      <c r="K53" s="72"/>
      <c r="L53" s="72"/>
      <c r="M53" s="72"/>
      <c r="N53" s="72"/>
      <c r="O53" s="72"/>
      <c r="P53" s="72"/>
      <c r="Q53" s="72"/>
      <c r="R53" s="72"/>
      <c r="S53" s="72"/>
      <c r="T53" s="72"/>
      <c r="U53" s="72"/>
      <c r="V53" s="72"/>
      <c r="W53" s="72"/>
      <c r="X53" s="72"/>
      <c r="Y53" s="72"/>
      <c r="Z53" s="72"/>
    </row>
    <row r="54" spans="1:26" ht="20" customHeight="1" x14ac:dyDescent="0.2">
      <c r="A54" s="64"/>
      <c r="B54" s="65" t="s">
        <v>59</v>
      </c>
      <c r="C54" s="66" t="s">
        <v>48</v>
      </c>
      <c r="D54" s="67"/>
      <c r="E54" s="67"/>
      <c r="F54" s="68" t="s">
        <v>49</v>
      </c>
      <c r="G54" s="69"/>
      <c r="H54" s="69"/>
      <c r="I54" s="69"/>
      <c r="J54" s="69"/>
      <c r="K54" s="69"/>
      <c r="L54" s="69"/>
      <c r="M54" s="69"/>
      <c r="N54" s="69"/>
      <c r="O54" s="69"/>
      <c r="P54" s="69"/>
      <c r="Q54" s="69"/>
      <c r="R54" s="69"/>
      <c r="S54" s="69"/>
      <c r="T54" s="69"/>
      <c r="U54" s="69"/>
      <c r="V54" s="69"/>
      <c r="W54" s="69"/>
      <c r="X54" s="69"/>
      <c r="Y54" s="69"/>
      <c r="Z54" s="69"/>
    </row>
    <row r="55" spans="1:26" ht="22" customHeight="1" x14ac:dyDescent="0.2">
      <c r="A55" s="70">
        <v>36</v>
      </c>
      <c r="B55" s="57" t="str">
        <f>Req_Rubro!C20</f>
        <v>≥7 años operando bajo el régimen solicitado, O promedio &gt;2,500 trabajadores en los últimos 12 meses, O maquinaria y equipo con valor &gt;$100,000,000 pesos</v>
      </c>
      <c r="C55" s="58">
        <f>Req_Rubro!F20</f>
        <v>0</v>
      </c>
      <c r="D55" s="73">
        <f>$D$54</f>
        <v>0</v>
      </c>
      <c r="E55" s="73">
        <f>$E$54</f>
        <v>0</v>
      </c>
      <c r="F55" s="74" t="str">
        <f>Req_Rubro!B20</f>
        <v>Pendiente</v>
      </c>
      <c r="G55" s="75"/>
      <c r="H55" s="75"/>
      <c r="I55" s="75"/>
      <c r="J55" s="75"/>
      <c r="K55" s="75"/>
      <c r="L55" s="75"/>
      <c r="M55" s="75"/>
      <c r="N55" s="75"/>
      <c r="O55" s="75"/>
      <c r="P55" s="75"/>
      <c r="Q55" s="75"/>
      <c r="R55" s="75"/>
      <c r="S55" s="75"/>
      <c r="T55" s="75"/>
      <c r="U55" s="75"/>
      <c r="V55" s="75"/>
      <c r="W55" s="75"/>
      <c r="X55" s="75"/>
      <c r="Y55" s="75"/>
      <c r="Z55" s="75"/>
    </row>
    <row r="56" spans="1:26" ht="22" customHeight="1" x14ac:dyDescent="0.2">
      <c r="A56" s="70">
        <v>37</v>
      </c>
      <c r="B56" s="55" t="str">
        <f>Req_Rubro!C21</f>
        <v>Sin crédito fiscal notificado por el SAT en los últimos 24 meses (o garantizado conforme art. 141 CFF)</v>
      </c>
      <c r="C56" s="56">
        <f>Req_Rubro!F21</f>
        <v>0</v>
      </c>
      <c r="D56" s="71">
        <f>$D$54</f>
        <v>0</v>
      </c>
      <c r="E56" s="71">
        <f>$E$54</f>
        <v>0</v>
      </c>
      <c r="F56" s="16" t="str">
        <f>Req_Rubro!B21</f>
        <v>Pendiente</v>
      </c>
      <c r="G56" s="72"/>
      <c r="H56" s="72"/>
      <c r="I56" s="72"/>
      <c r="J56" s="72"/>
      <c r="K56" s="72"/>
      <c r="L56" s="72"/>
      <c r="M56" s="72"/>
      <c r="N56" s="72"/>
      <c r="O56" s="72"/>
      <c r="P56" s="72"/>
      <c r="Q56" s="72"/>
      <c r="R56" s="72"/>
      <c r="S56" s="72"/>
      <c r="T56" s="72"/>
      <c r="U56" s="72"/>
      <c r="V56" s="72"/>
      <c r="W56" s="72"/>
      <c r="X56" s="72"/>
      <c r="Y56" s="72"/>
      <c r="Z56" s="72"/>
    </row>
    <row r="57" spans="1:26" ht="22" customHeight="1" x14ac:dyDescent="0.2">
      <c r="A57" s="70">
        <v>38</v>
      </c>
      <c r="B57" s="57" t="str">
        <f>Req_Rubro!C22</f>
        <v>Sin resolución de improcedencia de devolución IVA &gt;20% del total autorizado y/o monto negado &gt;$5,000,000 pesos en los últimos 6 meses</v>
      </c>
      <c r="C57" s="58">
        <f>Req_Rubro!F22</f>
        <v>0</v>
      </c>
      <c r="D57" s="73">
        <f>$D$54</f>
        <v>0</v>
      </c>
      <c r="E57" s="73">
        <f>$E$54</f>
        <v>0</v>
      </c>
      <c r="F57" s="74" t="str">
        <f>Req_Rubro!B22</f>
        <v>Pendiente</v>
      </c>
      <c r="G57" s="75"/>
      <c r="H57" s="75"/>
      <c r="I57" s="75"/>
      <c r="J57" s="75"/>
      <c r="K57" s="75"/>
      <c r="L57" s="75"/>
      <c r="M57" s="75"/>
      <c r="N57" s="75"/>
      <c r="O57" s="75"/>
      <c r="P57" s="75"/>
      <c r="Q57" s="75"/>
      <c r="R57" s="75"/>
      <c r="S57" s="75"/>
      <c r="T57" s="75"/>
      <c r="U57" s="75"/>
      <c r="V57" s="75"/>
      <c r="W57" s="75"/>
      <c r="X57" s="75"/>
      <c r="Y57" s="75"/>
      <c r="Z57" s="75"/>
    </row>
    <row r="58" spans="1:26" ht="18" customHeight="1" x14ac:dyDescent="0.2">
      <c r="A58" s="152" t="s">
        <v>60</v>
      </c>
      <c r="B58" s="96"/>
      <c r="C58" s="96"/>
      <c r="D58" s="96"/>
      <c r="E58" s="96"/>
      <c r="F58" s="96"/>
      <c r="G58" s="96"/>
      <c r="H58" s="96"/>
      <c r="I58" s="96"/>
      <c r="J58" s="96"/>
      <c r="K58" s="96"/>
      <c r="L58" s="96"/>
      <c r="M58" s="96"/>
      <c r="N58" s="96"/>
      <c r="O58" s="96"/>
      <c r="P58" s="96"/>
      <c r="Q58" s="96"/>
      <c r="R58" s="96"/>
      <c r="S58" s="96"/>
      <c r="T58" s="96"/>
      <c r="U58" s="96"/>
      <c r="V58" s="96"/>
      <c r="W58" s="96"/>
      <c r="X58" s="96"/>
      <c r="Y58" s="96"/>
      <c r="Z58" s="96"/>
    </row>
    <row r="59" spans="1:26" ht="20" customHeight="1" x14ac:dyDescent="0.2">
      <c r="A59" s="64"/>
      <c r="B59" s="65" t="s">
        <v>61</v>
      </c>
      <c r="C59" s="66" t="s">
        <v>48</v>
      </c>
      <c r="D59" s="67"/>
      <c r="E59" s="67"/>
      <c r="F59" s="68" t="s">
        <v>49</v>
      </c>
      <c r="G59" s="69"/>
      <c r="H59" s="69"/>
      <c r="I59" s="69"/>
      <c r="J59" s="69"/>
      <c r="K59" s="69"/>
      <c r="L59" s="69"/>
      <c r="M59" s="69"/>
      <c r="N59" s="69"/>
      <c r="O59" s="69"/>
      <c r="P59" s="69"/>
      <c r="Q59" s="69"/>
      <c r="R59" s="69"/>
      <c r="S59" s="69"/>
      <c r="T59" s="69"/>
      <c r="U59" s="69"/>
      <c r="V59" s="69"/>
      <c r="W59" s="69"/>
      <c r="X59" s="69"/>
      <c r="Y59" s="69"/>
      <c r="Z59" s="69"/>
    </row>
    <row r="60" spans="1:26" ht="20" customHeight="1" x14ac:dyDescent="0.2">
      <c r="A60" s="64"/>
      <c r="B60" s="65" t="s">
        <v>50</v>
      </c>
      <c r="C60" s="66" t="s">
        <v>48</v>
      </c>
      <c r="D60" s="67"/>
      <c r="E60" s="67"/>
      <c r="F60" s="68" t="s">
        <v>49</v>
      </c>
      <c r="G60" s="69"/>
      <c r="H60" s="69"/>
      <c r="I60" s="69"/>
      <c r="J60" s="69"/>
      <c r="K60" s="69"/>
      <c r="L60" s="69"/>
      <c r="M60" s="69"/>
      <c r="N60" s="69"/>
      <c r="O60" s="69"/>
      <c r="P60" s="69"/>
      <c r="Q60" s="69"/>
      <c r="R60" s="69"/>
      <c r="S60" s="69"/>
      <c r="T60" s="69"/>
      <c r="U60" s="69"/>
      <c r="V60" s="69"/>
      <c r="W60" s="69"/>
      <c r="X60" s="69"/>
      <c r="Y60" s="69"/>
      <c r="Z60" s="69"/>
    </row>
    <row r="61" spans="1:26" ht="20" customHeight="1" x14ac:dyDescent="0.2">
      <c r="A61" s="64"/>
      <c r="B61" s="65" t="s">
        <v>62</v>
      </c>
      <c r="C61" s="66" t="s">
        <v>48</v>
      </c>
      <c r="D61" s="67"/>
      <c r="E61" s="67"/>
      <c r="F61" s="68" t="s">
        <v>49</v>
      </c>
      <c r="G61" s="69"/>
      <c r="H61" s="69"/>
      <c r="I61" s="69"/>
      <c r="J61" s="69"/>
      <c r="K61" s="69"/>
      <c r="L61" s="69"/>
      <c r="M61" s="69"/>
      <c r="N61" s="69"/>
      <c r="O61" s="69"/>
      <c r="P61" s="69"/>
      <c r="Q61" s="69"/>
      <c r="R61" s="69"/>
      <c r="S61" s="69"/>
      <c r="T61" s="69"/>
      <c r="U61" s="69"/>
      <c r="V61" s="69"/>
      <c r="W61" s="69"/>
      <c r="X61" s="69"/>
      <c r="Y61" s="69"/>
      <c r="Z61" s="69"/>
    </row>
    <row r="62" spans="1:26" ht="22" customHeight="1" x14ac:dyDescent="0.2">
      <c r="A62" s="70">
        <v>39</v>
      </c>
      <c r="B62" s="55" t="str">
        <f>Solicitud_61LA!C5</f>
        <v>Pago de derechos: $40,267.00 a través del esquema electrónico e5cinco. El aviso de renovación es gratuito.</v>
      </c>
      <c r="C62" s="56">
        <f>Solicitud_61LA!F5</f>
        <v>0</v>
      </c>
      <c r="D62" s="71">
        <f t="shared" ref="D62:D69" si="6">$D$61</f>
        <v>0</v>
      </c>
      <c r="E62" s="71">
        <f t="shared" ref="E62:E69" si="7">$E$61</f>
        <v>0</v>
      </c>
      <c r="F62" s="16" t="str">
        <f>Solicitud_61LA!B5</f>
        <v>Pendiente</v>
      </c>
      <c r="G62" s="72"/>
      <c r="H62" s="72"/>
      <c r="I62" s="72"/>
      <c r="J62" s="72"/>
      <c r="K62" s="72"/>
      <c r="L62" s="72"/>
      <c r="M62" s="72"/>
      <c r="N62" s="72"/>
      <c r="O62" s="72"/>
      <c r="P62" s="72"/>
      <c r="Q62" s="72"/>
      <c r="R62" s="72"/>
      <c r="S62" s="72"/>
      <c r="T62" s="72"/>
      <c r="U62" s="72"/>
      <c r="V62" s="72"/>
      <c r="W62" s="72"/>
      <c r="X62" s="72"/>
      <c r="Y62" s="72"/>
      <c r="Z62" s="72"/>
    </row>
    <row r="63" spans="1:26" ht="22" customHeight="1" x14ac:dyDescent="0.2">
      <c r="A63" s="70">
        <v>40</v>
      </c>
      <c r="B63" s="57" t="str">
        <f>Solicitud_61LA!C6</f>
        <v>Pueden solicitarlo personas físicas o morales</v>
      </c>
      <c r="C63" s="58">
        <f>Solicitud_61LA!F6</f>
        <v>0</v>
      </c>
      <c r="D63" s="73">
        <f t="shared" si="6"/>
        <v>0</v>
      </c>
      <c r="E63" s="73">
        <f t="shared" si="7"/>
        <v>0</v>
      </c>
      <c r="F63" s="74" t="str">
        <f>Solicitud_61LA!B6</f>
        <v>Pendiente</v>
      </c>
      <c r="G63" s="75"/>
      <c r="H63" s="75"/>
      <c r="I63" s="75"/>
      <c r="J63" s="75"/>
      <c r="K63" s="75"/>
      <c r="L63" s="75"/>
      <c r="M63" s="75"/>
      <c r="N63" s="75"/>
      <c r="O63" s="75"/>
      <c r="P63" s="75"/>
      <c r="Q63" s="75"/>
      <c r="R63" s="75"/>
      <c r="S63" s="75"/>
      <c r="T63" s="75"/>
      <c r="U63" s="75"/>
      <c r="V63" s="75"/>
      <c r="W63" s="75"/>
      <c r="X63" s="75"/>
      <c r="Y63" s="75"/>
      <c r="Z63" s="75"/>
    </row>
    <row r="64" spans="1:26" ht="22" customHeight="1" x14ac:dyDescent="0.2">
      <c r="A64" s="70">
        <v>41</v>
      </c>
      <c r="B64" s="55" t="str">
        <f>Solicitud_61LA!C7</f>
        <v>Se presenta en la Ventanilla Digital: https://www.ventanillaunica.gob.mx</v>
      </c>
      <c r="C64" s="56">
        <f>Solicitud_61LA!F7</f>
        <v>0</v>
      </c>
      <c r="D64" s="71">
        <f t="shared" si="6"/>
        <v>0</v>
      </c>
      <c r="E64" s="71">
        <f t="shared" si="7"/>
        <v>0</v>
      </c>
      <c r="F64" s="16" t="str">
        <f>Solicitud_61LA!B7</f>
        <v>Pendiente</v>
      </c>
      <c r="G64" s="72"/>
      <c r="H64" s="72"/>
      <c r="I64" s="72"/>
      <c r="J64" s="72"/>
      <c r="K64" s="72"/>
      <c r="L64" s="72"/>
      <c r="M64" s="72"/>
      <c r="N64" s="72"/>
      <c r="O64" s="72"/>
      <c r="P64" s="72"/>
      <c r="Q64" s="72"/>
      <c r="R64" s="72"/>
      <c r="S64" s="72"/>
      <c r="T64" s="72"/>
      <c r="U64" s="72"/>
      <c r="V64" s="72"/>
      <c r="W64" s="72"/>
      <c r="X64" s="72"/>
      <c r="Y64" s="72"/>
      <c r="Z64" s="72"/>
    </row>
    <row r="65" spans="1:26" ht="22" customHeight="1" x14ac:dyDescent="0.2">
      <c r="A65" s="70">
        <v>42</v>
      </c>
      <c r="B65" s="57" t="str">
        <f>Solicitud_61LA!C8</f>
        <v>Para obtener el registro: presentar cuando se desee. Para renovación: presentar 30 días previos al vencimiento de la vigencia</v>
      </c>
      <c r="C65" s="58">
        <f>Solicitud_61LA!F8</f>
        <v>0</v>
      </c>
      <c r="D65" s="73">
        <f t="shared" si="6"/>
        <v>0</v>
      </c>
      <c r="E65" s="73">
        <f t="shared" si="7"/>
        <v>0</v>
      </c>
      <c r="F65" s="74" t="str">
        <f>Solicitud_61LA!B8</f>
        <v>Pendiente</v>
      </c>
      <c r="G65" s="75"/>
      <c r="H65" s="75"/>
      <c r="I65" s="75"/>
      <c r="J65" s="75"/>
      <c r="K65" s="75"/>
      <c r="L65" s="75"/>
      <c r="M65" s="75"/>
      <c r="N65" s="75"/>
      <c r="O65" s="75"/>
      <c r="P65" s="75"/>
      <c r="Q65" s="75"/>
      <c r="R65" s="75"/>
      <c r="S65" s="75"/>
      <c r="T65" s="75"/>
      <c r="U65" s="75"/>
      <c r="V65" s="75"/>
      <c r="W65" s="75"/>
      <c r="X65" s="75"/>
      <c r="Y65" s="75"/>
      <c r="Z65" s="75"/>
    </row>
    <row r="66" spans="1:26" ht="22" customHeight="1" x14ac:dyDescent="0.2">
      <c r="A66" s="70">
        <v>43</v>
      </c>
      <c r="B66" s="55" t="str">
        <f>Solicitud_61LA!C9</f>
        <v>Vigencia: IVA e IEPS = 1 año; Comercializadora e Importadora / OEA / Socio Comercial Certificado = 2 años</v>
      </c>
      <c r="C66" s="56">
        <f>Solicitud_61LA!F9</f>
        <v>0</v>
      </c>
      <c r="D66" s="71">
        <f t="shared" si="6"/>
        <v>0</v>
      </c>
      <c r="E66" s="71">
        <f t="shared" si="7"/>
        <v>0</v>
      </c>
      <c r="F66" s="16" t="str">
        <f>Solicitud_61LA!B9</f>
        <v>Pendiente</v>
      </c>
      <c r="G66" s="72"/>
      <c r="H66" s="72"/>
      <c r="I66" s="72"/>
      <c r="J66" s="72"/>
      <c r="K66" s="72"/>
      <c r="L66" s="72"/>
      <c r="M66" s="72"/>
      <c r="N66" s="72"/>
      <c r="O66" s="72"/>
      <c r="P66" s="72"/>
      <c r="Q66" s="72"/>
      <c r="R66" s="72"/>
      <c r="S66" s="72"/>
      <c r="T66" s="72"/>
      <c r="U66" s="72"/>
      <c r="V66" s="72"/>
      <c r="W66" s="72"/>
      <c r="X66" s="72"/>
      <c r="Y66" s="72"/>
      <c r="Z66" s="72"/>
    </row>
    <row r="67" spans="1:26" ht="22" customHeight="1" x14ac:dyDescent="0.2">
      <c r="A67" s="70">
        <v>44</v>
      </c>
      <c r="B67" s="57" t="str">
        <f>Solicitud_61LA!C10</f>
        <v>Plazo SAT para resolver: IVA e IEPS y Comercializadora e Importadora = 60 días; OEA y Socio Comercial Certificado = 120 días</v>
      </c>
      <c r="C67" s="58">
        <f>Solicitud_61LA!F10</f>
        <v>0</v>
      </c>
      <c r="D67" s="73">
        <f t="shared" si="6"/>
        <v>0</v>
      </c>
      <c r="E67" s="73">
        <f t="shared" si="7"/>
        <v>0</v>
      </c>
      <c r="F67" s="74" t="str">
        <f>Solicitud_61LA!B10</f>
        <v>Pendiente</v>
      </c>
      <c r="G67" s="75"/>
      <c r="H67" s="75"/>
      <c r="I67" s="75"/>
      <c r="J67" s="75"/>
      <c r="K67" s="75"/>
      <c r="L67" s="75"/>
      <c r="M67" s="75"/>
      <c r="N67" s="75"/>
      <c r="O67" s="75"/>
      <c r="P67" s="75"/>
      <c r="Q67" s="75"/>
      <c r="R67" s="75"/>
      <c r="S67" s="75"/>
      <c r="T67" s="75"/>
      <c r="U67" s="75"/>
      <c r="V67" s="75"/>
      <c r="W67" s="75"/>
      <c r="X67" s="75"/>
      <c r="Y67" s="75"/>
      <c r="Z67" s="75"/>
    </row>
    <row r="68" spans="1:26" ht="22" customHeight="1" x14ac:dyDescent="0.2">
      <c r="A68" s="70">
        <v>45</v>
      </c>
      <c r="B68" s="55" t="str">
        <f>Solicitud_61LA!C11</f>
        <v>Plazo para cumplir información adicional solicitada por el SAT: 15 días. De no cumplir, la solicitud se tiene por no presentada</v>
      </c>
      <c r="C68" s="56">
        <f>Solicitud_61LA!F11</f>
        <v>0</v>
      </c>
      <c r="D68" s="71">
        <f t="shared" si="6"/>
        <v>0</v>
      </c>
      <c r="E68" s="71">
        <f t="shared" si="7"/>
        <v>0</v>
      </c>
      <c r="F68" s="16" t="str">
        <f>Solicitud_61LA!B11</f>
        <v>Pendiente</v>
      </c>
      <c r="G68" s="72"/>
      <c r="H68" s="72"/>
      <c r="I68" s="72"/>
      <c r="J68" s="72"/>
      <c r="K68" s="72"/>
      <c r="L68" s="72"/>
      <c r="M68" s="72"/>
      <c r="N68" s="72"/>
      <c r="O68" s="72"/>
      <c r="P68" s="72"/>
      <c r="Q68" s="72"/>
      <c r="R68" s="72"/>
      <c r="S68" s="72"/>
      <c r="T68" s="72"/>
      <c r="U68" s="72"/>
      <c r="V68" s="72"/>
      <c r="W68" s="72"/>
      <c r="X68" s="72"/>
      <c r="Y68" s="72"/>
      <c r="Z68" s="72"/>
    </row>
    <row r="69" spans="1:26" ht="22" customHeight="1" x14ac:dyDescent="0.2">
      <c r="A69" s="70">
        <v>46</v>
      </c>
      <c r="B69" s="57" t="str">
        <f>Solicitud_61LA!C12</f>
        <v>La autoridad podrá realizar visita de inspección inicial para constatar el cumplimiento de requisitos y obligaciones</v>
      </c>
      <c r="C69" s="58">
        <f>Solicitud_61LA!F12</f>
        <v>0</v>
      </c>
      <c r="D69" s="73">
        <f t="shared" si="6"/>
        <v>0</v>
      </c>
      <c r="E69" s="73">
        <f t="shared" si="7"/>
        <v>0</v>
      </c>
      <c r="F69" s="74" t="str">
        <f>Solicitud_61LA!B12</f>
        <v>Pendiente</v>
      </c>
      <c r="G69" s="75"/>
      <c r="H69" s="75"/>
      <c r="I69" s="75"/>
      <c r="J69" s="75"/>
      <c r="K69" s="75"/>
      <c r="L69" s="75"/>
      <c r="M69" s="75"/>
      <c r="N69" s="75"/>
      <c r="O69" s="75"/>
      <c r="P69" s="75"/>
      <c r="Q69" s="75"/>
      <c r="R69" s="75"/>
      <c r="S69" s="75"/>
      <c r="T69" s="75"/>
      <c r="U69" s="75"/>
      <c r="V69" s="75"/>
      <c r="W69" s="75"/>
      <c r="X69" s="75"/>
      <c r="Y69" s="75"/>
      <c r="Z69" s="75"/>
    </row>
    <row r="70" spans="1:26" ht="20" customHeight="1" x14ac:dyDescent="0.2">
      <c r="A70" s="64"/>
      <c r="B70" s="65" t="s">
        <v>63</v>
      </c>
      <c r="C70" s="66" t="s">
        <v>48</v>
      </c>
      <c r="D70" s="67"/>
      <c r="E70" s="67"/>
      <c r="F70" s="68" t="s">
        <v>49</v>
      </c>
      <c r="G70" s="69"/>
      <c r="H70" s="69"/>
      <c r="I70" s="69"/>
      <c r="J70" s="69"/>
      <c r="K70" s="69"/>
      <c r="L70" s="69"/>
      <c r="M70" s="69"/>
      <c r="N70" s="69"/>
      <c r="O70" s="69"/>
      <c r="P70" s="69"/>
      <c r="Q70" s="69"/>
      <c r="R70" s="69"/>
      <c r="S70" s="69"/>
      <c r="T70" s="69"/>
      <c r="U70" s="69"/>
      <c r="V70" s="69"/>
      <c r="W70" s="69"/>
      <c r="X70" s="69"/>
      <c r="Y70" s="69"/>
      <c r="Z70" s="69"/>
    </row>
    <row r="71" spans="1:26" ht="22" customHeight="1" x14ac:dyDescent="0.2">
      <c r="A71" s="70">
        <v>47</v>
      </c>
      <c r="B71" s="55" t="str">
        <f>Solicitud_61LA!C14</f>
        <v>Documento que acredite la relación laboral de los enlaces operativos (recibo de nómina, contrato laboral o carta firmada por el representante legal)</v>
      </c>
      <c r="C71" s="56">
        <f>Solicitud_61LA!F14</f>
        <v>0</v>
      </c>
      <c r="D71" s="71">
        <f t="shared" ref="D71:D85" si="8">$D$70</f>
        <v>0</v>
      </c>
      <c r="E71" s="71">
        <f t="shared" ref="E71:E85" si="9">$E$70</f>
        <v>0</v>
      </c>
      <c r="F71" s="16" t="str">
        <f>Solicitud_61LA!B14</f>
        <v>Pendiente</v>
      </c>
      <c r="G71" s="72"/>
      <c r="H71" s="72"/>
      <c r="I71" s="72"/>
      <c r="J71" s="72"/>
      <c r="K71" s="72"/>
      <c r="L71" s="72"/>
      <c r="M71" s="72"/>
      <c r="N71" s="72"/>
      <c r="O71" s="72"/>
      <c r="P71" s="72"/>
      <c r="Q71" s="72"/>
      <c r="R71" s="72"/>
      <c r="S71" s="72"/>
      <c r="T71" s="72"/>
      <c r="U71" s="72"/>
      <c r="V71" s="72"/>
      <c r="W71" s="72"/>
      <c r="X71" s="72"/>
      <c r="Y71" s="72"/>
      <c r="Z71" s="72"/>
    </row>
    <row r="72" spans="1:26" ht="22" customHeight="1" x14ac:dyDescent="0.2">
      <c r="A72" s="70">
        <v>48</v>
      </c>
      <c r="B72" s="57" t="str">
        <f>Solicitud_61LA!C15</f>
        <v>Registros patronales y constancias de la totalidad del personal registrado ante el IMSS del SUA, del último bimestre anterior a la solicitud. Para rubro A: primeras y últimas hojas de al menos 10 trabajadores + listado nombre/RFC</v>
      </c>
      <c r="C72" s="58">
        <f>Solicitud_61LA!F15</f>
        <v>0</v>
      </c>
      <c r="D72" s="73">
        <f t="shared" si="8"/>
        <v>0</v>
      </c>
      <c r="E72" s="73">
        <f t="shared" si="9"/>
        <v>0</v>
      </c>
      <c r="F72" s="74" t="str">
        <f>Solicitud_61LA!B15</f>
        <v>Pendiente</v>
      </c>
      <c r="G72" s="75"/>
      <c r="H72" s="75"/>
      <c r="I72" s="75"/>
      <c r="J72" s="75"/>
      <c r="K72" s="75"/>
      <c r="L72" s="75"/>
      <c r="M72" s="75"/>
      <c r="N72" s="75"/>
      <c r="O72" s="75"/>
      <c r="P72" s="75"/>
      <c r="Q72" s="75"/>
      <c r="R72" s="75"/>
      <c r="S72" s="75"/>
      <c r="T72" s="75"/>
      <c r="U72" s="75"/>
      <c r="V72" s="75"/>
      <c r="W72" s="75"/>
      <c r="X72" s="75"/>
      <c r="Y72" s="75"/>
      <c r="Z72" s="75"/>
    </row>
    <row r="73" spans="1:26" ht="22" customHeight="1" x14ac:dyDescent="0.2">
      <c r="A73" s="70">
        <v>49</v>
      </c>
      <c r="B73" s="55" t="str">
        <f>Solicitud_61LA!C16</f>
        <v>Última declaración de retenciones de ISR por salarios + comprobante del entero de las contribuciones retenidas de trabajadores</v>
      </c>
      <c r="C73" s="56">
        <f>Solicitud_61LA!F16</f>
        <v>0</v>
      </c>
      <c r="D73" s="71">
        <f t="shared" si="8"/>
        <v>0</v>
      </c>
      <c r="E73" s="71">
        <f t="shared" si="9"/>
        <v>0</v>
      </c>
      <c r="F73" s="16" t="str">
        <f>Solicitud_61LA!B16</f>
        <v>Pendiente</v>
      </c>
      <c r="G73" s="72"/>
      <c r="H73" s="72"/>
      <c r="I73" s="72"/>
      <c r="J73" s="72"/>
      <c r="K73" s="72"/>
      <c r="L73" s="72"/>
      <c r="M73" s="72"/>
      <c r="N73" s="72"/>
      <c r="O73" s="72"/>
      <c r="P73" s="72"/>
      <c r="Q73" s="72"/>
      <c r="R73" s="72"/>
      <c r="S73" s="72"/>
      <c r="T73" s="72"/>
      <c r="U73" s="72"/>
      <c r="V73" s="72"/>
      <c r="W73" s="72"/>
      <c r="X73" s="72"/>
      <c r="Y73" s="72"/>
      <c r="Z73" s="72"/>
    </row>
    <row r="74" spans="1:26" ht="22" customHeight="1" x14ac:dyDescent="0.2">
      <c r="A74" s="70">
        <v>50</v>
      </c>
      <c r="B74" s="57" t="str">
        <f>Solicitud_61LA!C17</f>
        <v>Comprobante de pago SIPARE (o acorde al SUA) de cuotas obrero-patronales del último bimestre. Nota: no son válidos comprobantes con leyenda de que no tienen efectos fiscales o legales</v>
      </c>
      <c r="C74" s="58">
        <f>Solicitud_61LA!F17</f>
        <v>0</v>
      </c>
      <c r="D74" s="73">
        <f t="shared" si="8"/>
        <v>0</v>
      </c>
      <c r="E74" s="73">
        <f t="shared" si="9"/>
        <v>0</v>
      </c>
      <c r="F74" s="74" t="str">
        <f>Solicitud_61LA!B17</f>
        <v>Pendiente</v>
      </c>
      <c r="G74" s="75"/>
      <c r="H74" s="75"/>
      <c r="I74" s="75"/>
      <c r="J74" s="75"/>
      <c r="K74" s="75"/>
      <c r="L74" s="75"/>
      <c r="M74" s="75"/>
      <c r="N74" s="75"/>
      <c r="O74" s="75"/>
      <c r="P74" s="75"/>
      <c r="Q74" s="75"/>
      <c r="R74" s="75"/>
      <c r="S74" s="75"/>
      <c r="T74" s="75"/>
      <c r="U74" s="75"/>
      <c r="V74" s="75"/>
      <c r="W74" s="75"/>
      <c r="X74" s="75"/>
      <c r="Y74" s="75"/>
      <c r="Z74" s="75"/>
    </row>
    <row r="75" spans="1:26" ht="22" customHeight="1" x14ac:dyDescent="0.2">
      <c r="A75" s="70">
        <v>51</v>
      </c>
      <c r="B75" s="55" t="str">
        <f>Solicitud_61LA!C18</f>
        <v>En caso de subcontratación de servicios especializados: documentación que acredite el cumplimiento del art. 27 fracc. V tercer párrafo Ley ISR</v>
      </c>
      <c r="C75" s="56">
        <f>Solicitud_61LA!F18</f>
        <v>0</v>
      </c>
      <c r="D75" s="71">
        <f t="shared" si="8"/>
        <v>0</v>
      </c>
      <c r="E75" s="71">
        <f t="shared" si="9"/>
        <v>0</v>
      </c>
      <c r="F75" s="16" t="str">
        <f>Solicitud_61LA!B18</f>
        <v>Pendiente</v>
      </c>
      <c r="G75" s="72"/>
      <c r="H75" s="72"/>
      <c r="I75" s="72"/>
      <c r="J75" s="72"/>
      <c r="K75" s="72"/>
      <c r="L75" s="72"/>
      <c r="M75" s="72"/>
      <c r="N75" s="72"/>
      <c r="O75" s="72"/>
      <c r="P75" s="72"/>
      <c r="Q75" s="72"/>
      <c r="R75" s="72"/>
      <c r="S75" s="72"/>
      <c r="T75" s="72"/>
      <c r="U75" s="72"/>
      <c r="V75" s="72"/>
      <c r="W75" s="72"/>
      <c r="X75" s="72"/>
      <c r="Y75" s="72"/>
      <c r="Z75" s="72"/>
    </row>
    <row r="76" spans="1:26" ht="22" customHeight="1" x14ac:dyDescent="0.2">
      <c r="A76" s="70">
        <v>52</v>
      </c>
      <c r="B76" s="57" t="str">
        <f>Solicitud_61LA!C19</f>
        <v>Listado de clientes y proveedores en el extranjero (nombre, denominación y domicilio), vinculados al régimen solicitado, con operaciones de CE en los últimos 12 meses, distinguiendo rol (cliente/proveedor)</v>
      </c>
      <c r="C76" s="58">
        <f>Solicitud_61LA!F19</f>
        <v>0</v>
      </c>
      <c r="D76" s="73">
        <f t="shared" si="8"/>
        <v>0</v>
      </c>
      <c r="E76" s="73">
        <f t="shared" si="9"/>
        <v>0</v>
      </c>
      <c r="F76" s="74" t="str">
        <f>Solicitud_61LA!B19</f>
        <v>Pendiente</v>
      </c>
      <c r="G76" s="75"/>
      <c r="H76" s="75"/>
      <c r="I76" s="75"/>
      <c r="J76" s="75"/>
      <c r="K76" s="75"/>
      <c r="L76" s="75"/>
      <c r="M76" s="75"/>
      <c r="N76" s="75"/>
      <c r="O76" s="75"/>
      <c r="P76" s="75"/>
      <c r="Q76" s="75"/>
      <c r="R76" s="75"/>
      <c r="S76" s="75"/>
      <c r="T76" s="75"/>
      <c r="U76" s="75"/>
      <c r="V76" s="75"/>
      <c r="W76" s="75"/>
      <c r="X76" s="75"/>
      <c r="Y76" s="75"/>
      <c r="Z76" s="75"/>
    </row>
    <row r="77" spans="1:26" ht="22" customHeight="1" x14ac:dyDescent="0.2">
      <c r="A77" s="70">
        <v>53</v>
      </c>
      <c r="B77" s="55" t="str">
        <f>Solicitud_61LA!C20</f>
        <v>Listado de proveedores de insumos en territorio nacional (nombre y RFC), vinculados al proceso del régimen solicitado, de los últimos 6 meses. Si no hay, escrito libre bajo protesta de decir verdad del representante legal</v>
      </c>
      <c r="C77" s="56">
        <f>Solicitud_61LA!F20</f>
        <v>0</v>
      </c>
      <c r="D77" s="71">
        <f t="shared" si="8"/>
        <v>0</v>
      </c>
      <c r="E77" s="71">
        <f t="shared" si="9"/>
        <v>0</v>
      </c>
      <c r="F77" s="16" t="str">
        <f>Solicitud_61LA!B20</f>
        <v>Pendiente</v>
      </c>
      <c r="G77" s="72"/>
      <c r="H77" s="72"/>
      <c r="I77" s="72"/>
      <c r="J77" s="72"/>
      <c r="K77" s="72"/>
      <c r="L77" s="72"/>
      <c r="M77" s="72"/>
      <c r="N77" s="72"/>
      <c r="O77" s="72"/>
      <c r="P77" s="72"/>
      <c r="Q77" s="72"/>
      <c r="R77" s="72"/>
      <c r="S77" s="72"/>
      <c r="T77" s="72"/>
      <c r="U77" s="72"/>
      <c r="V77" s="72"/>
      <c r="W77" s="72"/>
      <c r="X77" s="72"/>
      <c r="Y77" s="72"/>
      <c r="Z77" s="72"/>
    </row>
    <row r="78" spans="1:26" ht="22" customHeight="1" x14ac:dyDescent="0.2">
      <c r="A78" s="70">
        <v>54</v>
      </c>
      <c r="B78" s="57" t="str">
        <f>Solicitud_61LA!C21</f>
        <v>Contrato o título de propiedad del inmueble donde se realizan los procesos productivos, con vigencia forzosa ≥1 año y al menos 8 meses restantes. En subarrendamiento: contrato principal + autorización general para subarrendar</v>
      </c>
      <c r="C78" s="58">
        <f>Solicitud_61LA!F21</f>
        <v>0</v>
      </c>
      <c r="D78" s="73">
        <f t="shared" si="8"/>
        <v>0</v>
      </c>
      <c r="E78" s="73">
        <f t="shared" si="9"/>
        <v>0</v>
      </c>
      <c r="F78" s="74" t="str">
        <f>Solicitud_61LA!B21</f>
        <v>Pendiente</v>
      </c>
      <c r="G78" s="75"/>
      <c r="H78" s="75"/>
      <c r="I78" s="75"/>
      <c r="J78" s="75"/>
      <c r="K78" s="75"/>
      <c r="L78" s="75"/>
      <c r="M78" s="75"/>
      <c r="N78" s="75"/>
      <c r="O78" s="75"/>
      <c r="P78" s="75"/>
      <c r="Q78" s="75"/>
      <c r="R78" s="75"/>
      <c r="S78" s="75"/>
      <c r="T78" s="75"/>
      <c r="U78" s="75"/>
      <c r="V78" s="75"/>
      <c r="W78" s="75"/>
      <c r="X78" s="75"/>
      <c r="Y78" s="75"/>
      <c r="Z78" s="75"/>
    </row>
    <row r="79" spans="1:26" ht="22" customHeight="1" x14ac:dyDescent="0.2">
      <c r="A79" s="70">
        <v>55</v>
      </c>
      <c r="B79" s="55" t="str">
        <f>Solicitud_61LA!C22</f>
        <v>Reporte de saldos de mercancías de importación temporal de un mes (dentro de los últimos 3 meses previos a la solicitud), con: número de pedimento, fecha de pago/entrada, clave de pedimento, fracción arancelaria, cantidad, valor, saldo y valor del saldo</v>
      </c>
      <c r="C79" s="56">
        <f>Solicitud_61LA!F22</f>
        <v>0</v>
      </c>
      <c r="D79" s="71">
        <f t="shared" si="8"/>
        <v>0</v>
      </c>
      <c r="E79" s="71">
        <f t="shared" si="9"/>
        <v>0</v>
      </c>
      <c r="F79" s="16" t="str">
        <f>Solicitud_61LA!B22</f>
        <v>Pendiente</v>
      </c>
      <c r="G79" s="72"/>
      <c r="H79" s="72"/>
      <c r="I79" s="72"/>
      <c r="J79" s="72"/>
      <c r="K79" s="72"/>
      <c r="L79" s="72"/>
      <c r="M79" s="72"/>
      <c r="N79" s="72"/>
      <c r="O79" s="72"/>
      <c r="P79" s="72"/>
      <c r="Q79" s="72"/>
      <c r="R79" s="72"/>
      <c r="S79" s="72"/>
      <c r="T79" s="72"/>
      <c r="U79" s="72"/>
      <c r="V79" s="72"/>
      <c r="W79" s="72"/>
      <c r="X79" s="72"/>
      <c r="Y79" s="72"/>
      <c r="Z79" s="72"/>
    </row>
    <row r="80" spans="1:26" ht="22" customHeight="1" x14ac:dyDescent="0.2">
      <c r="A80" s="70">
        <v>56</v>
      </c>
      <c r="B80" s="57" t="str">
        <f>Solicitud_61LA!C23</f>
        <v>Listado de socios, accionistas, representantes legales con facultad para actos de dominio e integrantes de la administración obligados a tributar en México</v>
      </c>
      <c r="C80" s="58">
        <f>Solicitud_61LA!F23</f>
        <v>0</v>
      </c>
      <c r="D80" s="73">
        <f t="shared" si="8"/>
        <v>0</v>
      </c>
      <c r="E80" s="73">
        <f t="shared" si="9"/>
        <v>0</v>
      </c>
      <c r="F80" s="74" t="str">
        <f>Solicitud_61LA!B23</f>
        <v>Pendiente</v>
      </c>
      <c r="G80" s="75"/>
      <c r="H80" s="75"/>
      <c r="I80" s="75"/>
      <c r="J80" s="75"/>
      <c r="K80" s="75"/>
      <c r="L80" s="75"/>
      <c r="M80" s="75"/>
      <c r="N80" s="75"/>
      <c r="O80" s="75"/>
      <c r="P80" s="75"/>
      <c r="Q80" s="75"/>
      <c r="R80" s="75"/>
      <c r="S80" s="75"/>
      <c r="T80" s="75"/>
      <c r="U80" s="75"/>
      <c r="V80" s="75"/>
      <c r="W80" s="75"/>
      <c r="X80" s="75"/>
      <c r="Y80" s="75"/>
      <c r="Z80" s="75"/>
    </row>
    <row r="81" spans="1:26" ht="22" customHeight="1" x14ac:dyDescent="0.2">
      <c r="A81" s="70">
        <v>57</v>
      </c>
      <c r="B81" s="55" t="str">
        <f>Solicitud_61LA!C24</f>
        <v>Socios/accionistas NO obligados a tributar en México: Forma Oficial 96 (ficha 39/CFF) del ejercicio en curso o último ejercicio + acuse de presentación ante el SAT</v>
      </c>
      <c r="C81" s="56">
        <f>Solicitud_61LA!F24</f>
        <v>0</v>
      </c>
      <c r="D81" s="71">
        <f t="shared" si="8"/>
        <v>0</v>
      </c>
      <c r="E81" s="71">
        <f t="shared" si="9"/>
        <v>0</v>
      </c>
      <c r="F81" s="16" t="str">
        <f>Solicitud_61LA!B24</f>
        <v>Pendiente</v>
      </c>
      <c r="G81" s="72"/>
      <c r="H81" s="72"/>
      <c r="I81" s="72"/>
      <c r="J81" s="72"/>
      <c r="K81" s="72"/>
      <c r="L81" s="72"/>
      <c r="M81" s="72"/>
      <c r="N81" s="72"/>
      <c r="O81" s="72"/>
      <c r="P81" s="72"/>
      <c r="Q81" s="72"/>
      <c r="R81" s="72"/>
      <c r="S81" s="72"/>
      <c r="T81" s="72"/>
      <c r="U81" s="72"/>
      <c r="V81" s="72"/>
      <c r="W81" s="72"/>
      <c r="X81" s="72"/>
      <c r="Y81" s="72"/>
      <c r="Z81" s="72"/>
    </row>
    <row r="82" spans="1:26" ht="22" customHeight="1" x14ac:dyDescent="0.2">
      <c r="A82" s="70">
        <v>58</v>
      </c>
      <c r="B82" s="57" t="str">
        <f>Solicitud_61LA!C25</f>
        <v>Representante legal / administrador único / consejo de administración NO obligados a tributar en México: opinión 'Sin obligaciones fiscales', constancia de residencia fiscal, declaraciones del país donde tributan o pasaporte</v>
      </c>
      <c r="C82" s="58">
        <f>Solicitud_61LA!F25</f>
        <v>0</v>
      </c>
      <c r="D82" s="73">
        <f t="shared" si="8"/>
        <v>0</v>
      </c>
      <c r="E82" s="73">
        <f t="shared" si="9"/>
        <v>0</v>
      </c>
      <c r="F82" s="74" t="str">
        <f>Solicitud_61LA!B25</f>
        <v>Pendiente</v>
      </c>
      <c r="G82" s="75"/>
      <c r="H82" s="75"/>
      <c r="I82" s="75"/>
      <c r="J82" s="75"/>
      <c r="K82" s="75"/>
      <c r="L82" s="75"/>
      <c r="M82" s="75"/>
      <c r="N82" s="75"/>
      <c r="O82" s="75"/>
      <c r="P82" s="75"/>
      <c r="Q82" s="75"/>
      <c r="R82" s="75"/>
      <c r="S82" s="75"/>
      <c r="T82" s="75"/>
      <c r="U82" s="75"/>
      <c r="V82" s="75"/>
      <c r="W82" s="75"/>
      <c r="X82" s="75"/>
      <c r="Y82" s="75"/>
      <c r="Z82" s="75"/>
    </row>
    <row r="83" spans="1:26" ht="22" customHeight="1" x14ac:dyDescent="0.2">
      <c r="A83" s="70">
        <v>59</v>
      </c>
      <c r="B83" s="55" t="str">
        <f>Solicitud_61LA!C26</f>
        <v>Manifestación bajo protesta de decir verdad de que ningún socio ha sido condenado por delitos que ameriten pena corporal</v>
      </c>
      <c r="C83" s="56">
        <f>Solicitud_61LA!F26</f>
        <v>0</v>
      </c>
      <c r="D83" s="71">
        <f t="shared" si="8"/>
        <v>0</v>
      </c>
      <c r="E83" s="71">
        <f t="shared" si="9"/>
        <v>0</v>
      </c>
      <c r="F83" s="16" t="str">
        <f>Solicitud_61LA!B26</f>
        <v>Pendiente</v>
      </c>
      <c r="G83" s="72"/>
      <c r="H83" s="72"/>
      <c r="I83" s="72"/>
      <c r="J83" s="72"/>
      <c r="K83" s="72"/>
      <c r="L83" s="72"/>
      <c r="M83" s="72"/>
      <c r="N83" s="72"/>
      <c r="O83" s="72"/>
      <c r="P83" s="72"/>
      <c r="Q83" s="72"/>
      <c r="R83" s="72"/>
      <c r="S83" s="72"/>
      <c r="T83" s="72"/>
      <c r="U83" s="72"/>
      <c r="V83" s="72"/>
      <c r="W83" s="72"/>
      <c r="X83" s="72"/>
      <c r="Y83" s="72"/>
      <c r="Z83" s="72"/>
    </row>
    <row r="84" spans="1:26" ht="22" customHeight="1" x14ac:dyDescent="0.2">
      <c r="A84" s="70">
        <v>60</v>
      </c>
      <c r="B84" s="57" t="str">
        <f>Solicitud_61LA!C27</f>
        <v>Manifestación bajo protesta de decir verdad de que no se tienen sanciones administrativas por importación o exportación de mercancías</v>
      </c>
      <c r="C84" s="58">
        <f>Solicitud_61LA!F27</f>
        <v>0</v>
      </c>
      <c r="D84" s="73">
        <f t="shared" si="8"/>
        <v>0</v>
      </c>
      <c r="E84" s="73">
        <f t="shared" si="9"/>
        <v>0</v>
      </c>
      <c r="F84" s="74" t="str">
        <f>Solicitud_61LA!B27</f>
        <v>Pendiente</v>
      </c>
      <c r="G84" s="75"/>
      <c r="H84" s="75"/>
      <c r="I84" s="75"/>
      <c r="J84" s="75"/>
      <c r="K84" s="75"/>
      <c r="L84" s="75"/>
      <c r="M84" s="75"/>
      <c r="N84" s="75"/>
      <c r="O84" s="75"/>
      <c r="P84" s="75"/>
      <c r="Q84" s="75"/>
      <c r="R84" s="75"/>
      <c r="S84" s="75"/>
      <c r="T84" s="75"/>
      <c r="U84" s="75"/>
      <c r="V84" s="75"/>
      <c r="W84" s="75"/>
      <c r="X84" s="75"/>
      <c r="Y84" s="75"/>
      <c r="Z84" s="75"/>
    </row>
    <row r="85" spans="1:26" ht="22" customHeight="1" x14ac:dyDescent="0.2">
      <c r="A85" s="70">
        <v>61</v>
      </c>
      <c r="B85" s="55" t="str">
        <f>Solicitud_61LA!C28</f>
        <v>Recibo de pago de derechos con sello digital o comprobante e5cinco ($40,267.00). Liga: https://aplicacionesc.mat.sat.gob.mx/e5cinco/</v>
      </c>
      <c r="C85" s="56">
        <f>Solicitud_61LA!F28</f>
        <v>0</v>
      </c>
      <c r="D85" s="71">
        <f t="shared" si="8"/>
        <v>0</v>
      </c>
      <c r="E85" s="71">
        <f t="shared" si="9"/>
        <v>0</v>
      </c>
      <c r="F85" s="16" t="str">
        <f>Solicitud_61LA!B28</f>
        <v>Pendiente</v>
      </c>
      <c r="G85" s="72"/>
      <c r="H85" s="72"/>
      <c r="I85" s="72"/>
      <c r="J85" s="72"/>
      <c r="K85" s="72"/>
      <c r="L85" s="72"/>
      <c r="M85" s="72"/>
      <c r="N85" s="72"/>
      <c r="O85" s="72"/>
      <c r="P85" s="72"/>
      <c r="Q85" s="72"/>
      <c r="R85" s="72"/>
      <c r="S85" s="72"/>
      <c r="T85" s="72"/>
      <c r="U85" s="72"/>
      <c r="V85" s="72"/>
      <c r="W85" s="72"/>
      <c r="X85" s="72"/>
      <c r="Y85" s="72"/>
      <c r="Z85" s="72"/>
    </row>
    <row r="86" spans="1:26" ht="20" customHeight="1" x14ac:dyDescent="0.2">
      <c r="A86" s="64"/>
      <c r="B86" s="65" t="s">
        <v>64</v>
      </c>
      <c r="C86" s="66" t="s">
        <v>48</v>
      </c>
      <c r="D86" s="67"/>
      <c r="E86" s="67"/>
      <c r="F86" s="68" t="s">
        <v>49</v>
      </c>
      <c r="G86" s="69"/>
      <c r="H86" s="69"/>
      <c r="I86" s="69"/>
      <c r="J86" s="69"/>
      <c r="K86" s="69"/>
      <c r="L86" s="69"/>
      <c r="M86" s="69"/>
      <c r="N86" s="69"/>
      <c r="O86" s="69"/>
      <c r="P86" s="69"/>
      <c r="Q86" s="69"/>
      <c r="R86" s="69"/>
      <c r="S86" s="69"/>
      <c r="T86" s="69"/>
      <c r="U86" s="69"/>
      <c r="V86" s="69"/>
      <c r="W86" s="69"/>
      <c r="X86" s="69"/>
      <c r="Y86" s="69"/>
      <c r="Z86" s="69"/>
    </row>
    <row r="87" spans="1:26" ht="22" customHeight="1" x14ac:dyDescent="0.2">
      <c r="A87" s="70">
        <v>62</v>
      </c>
      <c r="B87" s="57" t="str">
        <f>Solicitud_61LA!C30</f>
        <v>CFDI, título de propiedad, pedimentos de importación o contratos que acrediten el legal uso o goce de maquinaria y equipo + CFDI que amparen el pago</v>
      </c>
      <c r="C87" s="58">
        <f>Solicitud_61LA!F30</f>
        <v>0</v>
      </c>
      <c r="D87" s="73">
        <f t="shared" ref="D87:D92" si="10">$D$86</f>
        <v>0</v>
      </c>
      <c r="E87" s="73">
        <f t="shared" ref="E87:E92" si="11">$E$86</f>
        <v>0</v>
      </c>
      <c r="F87" s="74" t="str">
        <f>Solicitud_61LA!B30</f>
        <v>Pendiente</v>
      </c>
      <c r="G87" s="75"/>
      <c r="H87" s="75"/>
      <c r="I87" s="75"/>
      <c r="J87" s="75"/>
      <c r="K87" s="75"/>
      <c r="L87" s="75"/>
      <c r="M87" s="75"/>
      <c r="N87" s="75"/>
      <c r="O87" s="75"/>
      <c r="P87" s="75"/>
      <c r="Q87" s="75"/>
      <c r="R87" s="75"/>
      <c r="S87" s="75"/>
      <c r="T87" s="75"/>
      <c r="U87" s="75"/>
      <c r="V87" s="75"/>
      <c r="W87" s="75"/>
      <c r="X87" s="75"/>
      <c r="Y87" s="75"/>
      <c r="Z87" s="75"/>
    </row>
    <row r="88" spans="1:26" ht="22" customHeight="1" x14ac:dyDescent="0.2">
      <c r="A88" s="70">
        <v>63</v>
      </c>
      <c r="B88" s="55" t="str">
        <f>Solicitud_61LA!C31</f>
        <v>Fotografías de la planta productiva y del proceso productivo</v>
      </c>
      <c r="C88" s="56">
        <f>Solicitud_61LA!F31</f>
        <v>0</v>
      </c>
      <c r="D88" s="71">
        <f t="shared" si="10"/>
        <v>0</v>
      </c>
      <c r="E88" s="71">
        <f t="shared" si="11"/>
        <v>0</v>
      </c>
      <c r="F88" s="16" t="str">
        <f>Solicitud_61LA!B31</f>
        <v>Pendiente</v>
      </c>
      <c r="G88" s="72"/>
      <c r="H88" s="72"/>
      <c r="I88" s="72"/>
      <c r="J88" s="72"/>
      <c r="K88" s="72"/>
      <c r="L88" s="72"/>
      <c r="M88" s="72"/>
      <c r="N88" s="72"/>
      <c r="O88" s="72"/>
      <c r="P88" s="72"/>
      <c r="Q88" s="72"/>
      <c r="R88" s="72"/>
      <c r="S88" s="72"/>
      <c r="T88" s="72"/>
      <c r="U88" s="72"/>
      <c r="V88" s="72"/>
      <c r="W88" s="72"/>
      <c r="X88" s="72"/>
      <c r="Y88" s="72"/>
      <c r="Z88" s="72"/>
    </row>
    <row r="89" spans="1:26" ht="22" customHeight="1" x14ac:dyDescent="0.2">
      <c r="A89" s="70">
        <v>64</v>
      </c>
      <c r="B89" s="57" t="str">
        <f>Solicitud_61LA!C32</f>
        <v>Si se declararon constancias de transferencia de mercancías: 2 constancias + Excel con nombres, domicilios y montos de las empresas receptoras</v>
      </c>
      <c r="C89" s="58">
        <f>Solicitud_61LA!F32</f>
        <v>0</v>
      </c>
      <c r="D89" s="73">
        <f t="shared" si="10"/>
        <v>0</v>
      </c>
      <c r="E89" s="73">
        <f t="shared" si="11"/>
        <v>0</v>
      </c>
      <c r="F89" s="74" t="str">
        <f>Solicitud_61LA!B32</f>
        <v>Pendiente</v>
      </c>
      <c r="G89" s="75"/>
      <c r="H89" s="75"/>
      <c r="I89" s="75"/>
      <c r="J89" s="75"/>
      <c r="K89" s="75"/>
      <c r="L89" s="75"/>
      <c r="M89" s="75"/>
      <c r="N89" s="75"/>
      <c r="O89" s="75"/>
      <c r="P89" s="75"/>
      <c r="Q89" s="75"/>
      <c r="R89" s="75"/>
      <c r="S89" s="75"/>
      <c r="T89" s="75"/>
      <c r="U89" s="75"/>
      <c r="V89" s="75"/>
      <c r="W89" s="75"/>
      <c r="X89" s="75"/>
      <c r="Y89" s="75"/>
      <c r="Z89" s="75"/>
    </row>
    <row r="90" spans="1:26" ht="22" customHeight="1" x14ac:dyDescent="0.2">
      <c r="A90" s="70">
        <v>65</v>
      </c>
      <c r="B90" s="55" t="str">
        <f>Solicitud_61LA!C33</f>
        <v>Diagrama de flujo detallado del principal proceso productivo (origen, entrada al país, recepción, materiales con fracción arancelaria, almacenamiento, proceso, salida, destino/descargo y submanufactura)</v>
      </c>
      <c r="C90" s="56">
        <f>Solicitud_61LA!F33</f>
        <v>0</v>
      </c>
      <c r="D90" s="71">
        <f t="shared" si="10"/>
        <v>0</v>
      </c>
      <c r="E90" s="71">
        <f t="shared" si="11"/>
        <v>0</v>
      </c>
      <c r="F90" s="16" t="str">
        <f>Solicitud_61LA!B33</f>
        <v>Pendiente</v>
      </c>
      <c r="G90" s="72"/>
      <c r="H90" s="72"/>
      <c r="I90" s="72"/>
      <c r="J90" s="72"/>
      <c r="K90" s="72"/>
      <c r="L90" s="72"/>
      <c r="M90" s="72"/>
      <c r="N90" s="72"/>
      <c r="O90" s="72"/>
      <c r="P90" s="72"/>
      <c r="Q90" s="72"/>
      <c r="R90" s="72"/>
      <c r="S90" s="72"/>
      <c r="T90" s="72"/>
      <c r="U90" s="72"/>
      <c r="V90" s="72"/>
      <c r="W90" s="72"/>
      <c r="X90" s="72"/>
      <c r="Y90" s="72"/>
      <c r="Z90" s="72"/>
    </row>
    <row r="91" spans="1:26" ht="22" customHeight="1" x14ac:dyDescent="0.2">
      <c r="A91" s="70">
        <v>66</v>
      </c>
      <c r="B91" s="57" t="str">
        <f>Solicitud_61LA!C34</f>
        <v>Contrato de maquila, compraventa, orden de compra, de servicios o pedidos en firme vigentes, con razón social, vigencia, firmas de las partes y traducción al español si aplica</v>
      </c>
      <c r="C91" s="58">
        <f>Solicitud_61LA!F34</f>
        <v>0</v>
      </c>
      <c r="D91" s="73">
        <f t="shared" si="10"/>
        <v>0</v>
      </c>
      <c r="E91" s="73">
        <f t="shared" si="11"/>
        <v>0</v>
      </c>
      <c r="F91" s="74" t="str">
        <f>Solicitud_61LA!B34</f>
        <v>Pendiente</v>
      </c>
      <c r="G91" s="75"/>
      <c r="H91" s="75"/>
      <c r="I91" s="75"/>
      <c r="J91" s="75"/>
      <c r="K91" s="75"/>
      <c r="L91" s="75"/>
      <c r="M91" s="75"/>
      <c r="N91" s="75"/>
      <c r="O91" s="75"/>
      <c r="P91" s="75"/>
      <c r="Q91" s="75"/>
      <c r="R91" s="75"/>
      <c r="S91" s="75"/>
      <c r="T91" s="75"/>
      <c r="U91" s="75"/>
      <c r="V91" s="75"/>
      <c r="W91" s="75"/>
      <c r="X91" s="75"/>
      <c r="Y91" s="75"/>
      <c r="Z91" s="75"/>
    </row>
    <row r="92" spans="1:26" ht="22" customHeight="1" x14ac:dyDescent="0.2">
      <c r="A92" s="70">
        <v>67</v>
      </c>
      <c r="B92" s="55" t="str">
        <f>Solicitud_61LA!C35</f>
        <v>Para importación de mercancías del Anexo II Decreto IMMEX o Anexo 28 RGCE: documentación que acredite operaciones al amparo del IMMEX en al menos los 12 meses previos a la solicitud</v>
      </c>
      <c r="C92" s="56">
        <f>Solicitud_61LA!F35</f>
        <v>0</v>
      </c>
      <c r="D92" s="71">
        <f t="shared" si="10"/>
        <v>0</v>
      </c>
      <c r="E92" s="71">
        <f t="shared" si="11"/>
        <v>0</v>
      </c>
      <c r="F92" s="16" t="str">
        <f>Solicitud_61LA!B35</f>
        <v>Pendiente</v>
      </c>
      <c r="G92" s="72"/>
      <c r="H92" s="72"/>
      <c r="I92" s="72"/>
      <c r="J92" s="72"/>
      <c r="K92" s="72"/>
      <c r="L92" s="72"/>
      <c r="M92" s="72"/>
      <c r="N92" s="72"/>
      <c r="O92" s="72"/>
      <c r="P92" s="72"/>
      <c r="Q92" s="72"/>
      <c r="R92" s="72"/>
      <c r="S92" s="72"/>
      <c r="T92" s="72"/>
      <c r="U92" s="72"/>
      <c r="V92" s="72"/>
      <c r="W92" s="72"/>
      <c r="X92" s="72"/>
      <c r="Y92" s="72"/>
      <c r="Z92" s="72"/>
    </row>
    <row r="93" spans="1:26" ht="20" customHeight="1" x14ac:dyDescent="0.2">
      <c r="A93" s="64"/>
      <c r="B93" s="65" t="s">
        <v>65</v>
      </c>
      <c r="C93" s="66" t="s">
        <v>48</v>
      </c>
      <c r="D93" s="67"/>
      <c r="E93" s="67"/>
      <c r="F93" s="68" t="s">
        <v>49</v>
      </c>
      <c r="G93" s="69"/>
      <c r="H93" s="69"/>
      <c r="I93" s="69"/>
      <c r="J93" s="69"/>
      <c r="K93" s="69"/>
      <c r="L93" s="69"/>
      <c r="M93" s="69"/>
      <c r="N93" s="69"/>
      <c r="O93" s="69"/>
      <c r="P93" s="69"/>
      <c r="Q93" s="69"/>
      <c r="R93" s="69"/>
      <c r="S93" s="69"/>
      <c r="T93" s="69"/>
      <c r="U93" s="69"/>
      <c r="V93" s="69"/>
      <c r="W93" s="69"/>
      <c r="X93" s="69"/>
      <c r="Y93" s="69"/>
      <c r="Z93" s="69"/>
    </row>
    <row r="94" spans="1:26" ht="22" customHeight="1" x14ac:dyDescent="0.2">
      <c r="A94" s="70">
        <v>68</v>
      </c>
      <c r="B94" s="57" t="str">
        <f>Solicitud_61LA!C37</f>
        <v>Acreditar al menos UNO de: constancias de más de 1,000 empleados ante IMSS/SUA de los últimos 12 meses, O declaración fiscal/CFDI/título con valor de maquinaria y equipo ≥$50,000,000 pesos</v>
      </c>
      <c r="C94" s="58">
        <f>Solicitud_61LA!F37</f>
        <v>0</v>
      </c>
      <c r="D94" s="73">
        <f>$D$93</f>
        <v>0</v>
      </c>
      <c r="E94" s="73">
        <f>$E$93</f>
        <v>0</v>
      </c>
      <c r="F94" s="74" t="str">
        <f>Solicitud_61LA!B37</f>
        <v>N/A</v>
      </c>
      <c r="G94" s="75"/>
      <c r="H94" s="75"/>
      <c r="I94" s="75"/>
      <c r="J94" s="75"/>
      <c r="K94" s="75"/>
      <c r="L94" s="75"/>
      <c r="M94" s="75"/>
      <c r="N94" s="75"/>
      <c r="O94" s="75"/>
      <c r="P94" s="75"/>
      <c r="Q94" s="75"/>
      <c r="R94" s="75"/>
      <c r="S94" s="75"/>
      <c r="T94" s="75"/>
      <c r="U94" s="75"/>
      <c r="V94" s="75"/>
      <c r="W94" s="75"/>
      <c r="X94" s="75"/>
      <c r="Y94" s="75"/>
      <c r="Z94" s="75"/>
    </row>
    <row r="95" spans="1:26" ht="22" customHeight="1" x14ac:dyDescent="0.2">
      <c r="A95" s="70">
        <v>69</v>
      </c>
      <c r="B95" s="55" t="str">
        <f>Solicitud_61LA!C38</f>
        <v>Si hay crédito fiscal del SAT en los últimos 12 meses: adjuntar autorización de pago a plazos (parcialidades o diferido) + comprobante de pago</v>
      </c>
      <c r="C95" s="56">
        <f>Solicitud_61LA!F38</f>
        <v>0</v>
      </c>
      <c r="D95" s="71">
        <f>$D$93</f>
        <v>0</v>
      </c>
      <c r="E95" s="71">
        <f>$E$93</f>
        <v>0</v>
      </c>
      <c r="F95" s="16" t="str">
        <f>Solicitud_61LA!B38</f>
        <v>N/A</v>
      </c>
      <c r="G95" s="72"/>
      <c r="H95" s="72"/>
      <c r="I95" s="72"/>
      <c r="J95" s="72"/>
      <c r="K95" s="72"/>
      <c r="L95" s="72"/>
      <c r="M95" s="72"/>
      <c r="N95" s="72"/>
      <c r="O95" s="72"/>
      <c r="P95" s="72"/>
      <c r="Q95" s="72"/>
      <c r="R95" s="72"/>
      <c r="S95" s="72"/>
      <c r="T95" s="72"/>
      <c r="U95" s="72"/>
      <c r="V95" s="72"/>
      <c r="W95" s="72"/>
      <c r="X95" s="72"/>
      <c r="Y95" s="72"/>
      <c r="Z95" s="72"/>
    </row>
    <row r="96" spans="1:26" ht="20" customHeight="1" x14ac:dyDescent="0.2">
      <c r="A96" s="64"/>
      <c r="B96" s="65" t="s">
        <v>66</v>
      </c>
      <c r="C96" s="66" t="s">
        <v>48</v>
      </c>
      <c r="D96" s="67"/>
      <c r="E96" s="67"/>
      <c r="F96" s="68" t="s">
        <v>49</v>
      </c>
      <c r="G96" s="69"/>
      <c r="H96" s="69"/>
      <c r="I96" s="69"/>
      <c r="J96" s="69"/>
      <c r="K96" s="69"/>
      <c r="L96" s="69"/>
      <c r="M96" s="69"/>
      <c r="N96" s="69"/>
      <c r="O96" s="69"/>
      <c r="P96" s="69"/>
      <c r="Q96" s="69"/>
      <c r="R96" s="69"/>
      <c r="S96" s="69"/>
      <c r="T96" s="69"/>
      <c r="U96" s="69"/>
      <c r="V96" s="69"/>
      <c r="W96" s="69"/>
      <c r="X96" s="69"/>
      <c r="Y96" s="69"/>
      <c r="Z96" s="69"/>
    </row>
    <row r="97" spans="1:26" ht="22" customHeight="1" x14ac:dyDescent="0.2">
      <c r="A97" s="70">
        <v>70</v>
      </c>
      <c r="B97" s="57" t="str">
        <f>Solicitud_61LA!C40</f>
        <v>Acreditar al menos UNO de: constancias de más de 2,500 empleados ante IMSS/SUA de los últimos 12 meses, O documentos con valor de maquinaria y equipo ≥$100,000,000 pesos, O listado de proveedores de insumos nacionales o empresas que transfieren mercancías (valores de los últimos 6 meses)</v>
      </c>
      <c r="C97" s="58">
        <f>Solicitud_61LA!F40</f>
        <v>0</v>
      </c>
      <c r="D97" s="73">
        <f>$D$96</f>
        <v>0</v>
      </c>
      <c r="E97" s="73">
        <f>$E$96</f>
        <v>0</v>
      </c>
      <c r="F97" s="74" t="str">
        <f>Solicitud_61LA!B40</f>
        <v>N/A</v>
      </c>
      <c r="G97" s="75"/>
      <c r="H97" s="75"/>
      <c r="I97" s="75"/>
      <c r="J97" s="75"/>
      <c r="K97" s="75"/>
      <c r="L97" s="75"/>
      <c r="M97" s="75"/>
      <c r="N97" s="75"/>
      <c r="O97" s="75"/>
      <c r="P97" s="75"/>
      <c r="Q97" s="75"/>
      <c r="R97" s="75"/>
      <c r="S97" s="75"/>
      <c r="T97" s="75"/>
      <c r="U97" s="75"/>
      <c r="V97" s="75"/>
      <c r="W97" s="75"/>
      <c r="X97" s="75"/>
      <c r="Y97" s="75"/>
      <c r="Z97" s="75"/>
    </row>
    <row r="98" spans="1:26" ht="20" customHeight="1" x14ac:dyDescent="0.2">
      <c r="A98" s="64"/>
      <c r="B98" s="65" t="s">
        <v>67</v>
      </c>
      <c r="C98" s="66" t="s">
        <v>48</v>
      </c>
      <c r="D98" s="67"/>
      <c r="E98" s="67"/>
      <c r="F98" s="68" t="s">
        <v>49</v>
      </c>
      <c r="G98" s="69"/>
      <c r="H98" s="69"/>
      <c r="I98" s="69"/>
      <c r="J98" s="69"/>
      <c r="K98" s="69"/>
      <c r="L98" s="69"/>
      <c r="M98" s="69"/>
      <c r="N98" s="69"/>
      <c r="O98" s="69"/>
      <c r="P98" s="69"/>
      <c r="Q98" s="69"/>
      <c r="R98" s="69"/>
      <c r="S98" s="69"/>
      <c r="T98" s="69"/>
      <c r="U98" s="69"/>
      <c r="V98" s="69"/>
      <c r="W98" s="69"/>
      <c r="X98" s="69"/>
      <c r="Y98" s="69"/>
      <c r="Z98" s="69"/>
    </row>
    <row r="99" spans="1:26" ht="22" customHeight="1" x14ac:dyDescent="0.2">
      <c r="A99" s="70">
        <v>71</v>
      </c>
      <c r="B99" s="55" t="str">
        <f>Solicitud_61LA!C42</f>
        <v>Documentación que acredite importaciones en el semestre inmediato anterior con valor en aduana no menor a $300,000,000 pesos</v>
      </c>
      <c r="C99" s="56">
        <f>Solicitud_61LA!F42</f>
        <v>0</v>
      </c>
      <c r="D99" s="71">
        <f>$D$98</f>
        <v>0</v>
      </c>
      <c r="E99" s="71">
        <f>$E$98</f>
        <v>0</v>
      </c>
      <c r="F99" s="16" t="str">
        <f>Solicitud_61LA!B42</f>
        <v>N/A</v>
      </c>
      <c r="G99" s="72"/>
      <c r="H99" s="72"/>
      <c r="I99" s="72"/>
      <c r="J99" s="72"/>
      <c r="K99" s="72"/>
      <c r="L99" s="72"/>
      <c r="M99" s="72"/>
      <c r="N99" s="72"/>
      <c r="O99" s="72"/>
      <c r="P99" s="72"/>
      <c r="Q99" s="72"/>
      <c r="R99" s="72"/>
      <c r="S99" s="72"/>
      <c r="T99" s="72"/>
      <c r="U99" s="72"/>
      <c r="V99" s="72"/>
      <c r="W99" s="72"/>
      <c r="X99" s="72"/>
      <c r="Y99" s="72"/>
      <c r="Z99" s="72"/>
    </row>
    <row r="100" spans="1:26" ht="22" customHeight="1" x14ac:dyDescent="0.2">
      <c r="A100" s="70">
        <v>72</v>
      </c>
      <c r="B100" s="57" t="str">
        <f>Solicitud_61LA!C43</f>
        <v>No deberás contar con Programa IMMEX (condición XXV)</v>
      </c>
      <c r="C100" s="58">
        <f>Solicitud_61LA!F43</f>
        <v>0</v>
      </c>
      <c r="D100" s="73">
        <f>$D$98</f>
        <v>0</v>
      </c>
      <c r="E100" s="73">
        <f>$E$98</f>
        <v>0</v>
      </c>
      <c r="F100" s="74" t="str">
        <f>Solicitud_61LA!B43</f>
        <v>N/A</v>
      </c>
      <c r="G100" s="75"/>
      <c r="H100" s="75"/>
      <c r="I100" s="75"/>
      <c r="J100" s="75"/>
      <c r="K100" s="75"/>
      <c r="L100" s="75"/>
      <c r="M100" s="75"/>
      <c r="N100" s="75"/>
      <c r="O100" s="75"/>
      <c r="P100" s="75"/>
      <c r="Q100" s="75"/>
      <c r="R100" s="75"/>
      <c r="S100" s="75"/>
      <c r="T100" s="75"/>
      <c r="U100" s="75"/>
      <c r="V100" s="75"/>
      <c r="W100" s="75"/>
      <c r="X100" s="75"/>
      <c r="Y100" s="75"/>
      <c r="Z100" s="75"/>
    </row>
    <row r="101" spans="1:26" ht="20" customHeight="1" x14ac:dyDescent="0.2">
      <c r="A101" s="64"/>
      <c r="B101" s="65" t="s">
        <v>68</v>
      </c>
      <c r="C101" s="66" t="s">
        <v>48</v>
      </c>
      <c r="D101" s="67"/>
      <c r="E101" s="67"/>
      <c r="F101" s="68" t="s">
        <v>49</v>
      </c>
      <c r="G101" s="69"/>
      <c r="H101" s="69"/>
      <c r="I101" s="69"/>
      <c r="J101" s="69"/>
      <c r="K101" s="69"/>
      <c r="L101" s="69"/>
      <c r="M101" s="69"/>
      <c r="N101" s="69"/>
      <c r="O101" s="69"/>
      <c r="P101" s="69"/>
      <c r="Q101" s="69"/>
      <c r="R101" s="69"/>
      <c r="S101" s="69"/>
      <c r="T101" s="69"/>
      <c r="U101" s="69"/>
      <c r="V101" s="69"/>
      <c r="W101" s="69"/>
      <c r="X101" s="69"/>
      <c r="Y101" s="69"/>
      <c r="Z101" s="69"/>
    </row>
    <row r="102" spans="1:26" ht="22" customHeight="1" x14ac:dyDescent="0.2">
      <c r="A102" s="70">
        <v>73</v>
      </c>
      <c r="B102" s="55" t="str">
        <f>Solicitud_61LA!C45</f>
        <v>OEA — todos los rubros: Formato E3 'Perfil de la Empresa' o E8 'Perfil del Recinto Fiscalizado Estratégico' (Anexo 1 RGCE) por cada instalación; haber efectuado operaciones de CE en los últimos 2 años</v>
      </c>
      <c r="C102" s="56">
        <f>Solicitud_61LA!F45</f>
        <v>0</v>
      </c>
      <c r="D102" s="71">
        <f t="shared" ref="D102:D112" si="12">$D$101</f>
        <v>0</v>
      </c>
      <c r="E102" s="71">
        <f t="shared" ref="E102:E112" si="13">$E$101</f>
        <v>0</v>
      </c>
      <c r="F102" s="16" t="str">
        <f>Solicitud_61LA!B45</f>
        <v>N/A</v>
      </c>
      <c r="G102" s="72"/>
      <c r="H102" s="72"/>
      <c r="I102" s="72"/>
      <c r="J102" s="72"/>
      <c r="K102" s="72"/>
      <c r="L102" s="72"/>
      <c r="M102" s="72"/>
      <c r="N102" s="72"/>
      <c r="O102" s="72"/>
      <c r="P102" s="72"/>
      <c r="Q102" s="72"/>
      <c r="R102" s="72"/>
      <c r="S102" s="72"/>
      <c r="T102" s="72"/>
      <c r="U102" s="72"/>
      <c r="V102" s="72"/>
      <c r="W102" s="72"/>
      <c r="X102" s="72"/>
      <c r="Y102" s="72"/>
      <c r="Z102" s="72"/>
    </row>
    <row r="103" spans="1:26" ht="22" customHeight="1" x14ac:dyDescent="0.2">
      <c r="A103" s="70">
        <v>74</v>
      </c>
      <c r="B103" s="57" t="str">
        <f>Solicitud_61LA!C46</f>
        <v>OEA — Rubro Controladora: documento SE que acredite designación + listado de sociedades controladas + diagrama de estructura accionaria + autorización IMMEX vigente</v>
      </c>
      <c r="C103" s="58">
        <f>Solicitud_61LA!F46</f>
        <v>0</v>
      </c>
      <c r="D103" s="73">
        <f t="shared" si="12"/>
        <v>0</v>
      </c>
      <c r="E103" s="73">
        <f t="shared" si="13"/>
        <v>0</v>
      </c>
      <c r="F103" s="74" t="str">
        <f>Solicitud_61LA!B46</f>
        <v>N/A</v>
      </c>
      <c r="G103" s="75"/>
      <c r="H103" s="75"/>
      <c r="I103" s="75"/>
      <c r="J103" s="75"/>
      <c r="K103" s="75"/>
      <c r="L103" s="75"/>
      <c r="M103" s="75"/>
      <c r="N103" s="75"/>
      <c r="O103" s="75"/>
      <c r="P103" s="75"/>
      <c r="Q103" s="75"/>
      <c r="R103" s="75"/>
      <c r="S103" s="75"/>
      <c r="T103" s="75"/>
      <c r="U103" s="75"/>
      <c r="V103" s="75"/>
      <c r="W103" s="75"/>
      <c r="X103" s="75"/>
      <c r="Y103" s="75"/>
      <c r="Z103" s="75"/>
    </row>
    <row r="104" spans="1:26" ht="22" customHeight="1" x14ac:dyDescent="0.2">
      <c r="A104" s="70">
        <v>75</v>
      </c>
      <c r="B104" s="55" t="str">
        <f>Solicitud_61LA!C47</f>
        <v>OEA — Rubro SECIIT: Registro IVA e IEPS AA o AAA vigente + dictamen favorable + activos fijos ≥USD $30,000,000 o cotización en mercados reconocidos + sistemas de rastreo + diagrama de flujo con acceso electrónico permanente de la autoridad</v>
      </c>
      <c r="C104" s="56">
        <f>Solicitud_61LA!F47</f>
        <v>0</v>
      </c>
      <c r="D104" s="71">
        <f t="shared" si="12"/>
        <v>0</v>
      </c>
      <c r="E104" s="71">
        <f t="shared" si="13"/>
        <v>0</v>
      </c>
      <c r="F104" s="16" t="str">
        <f>Solicitud_61LA!B47</f>
        <v>N/A</v>
      </c>
      <c r="G104" s="72"/>
      <c r="H104" s="72"/>
      <c r="I104" s="72"/>
      <c r="J104" s="72"/>
      <c r="K104" s="72"/>
      <c r="L104" s="72"/>
      <c r="M104" s="72"/>
      <c r="N104" s="72"/>
      <c r="O104" s="72"/>
      <c r="P104" s="72"/>
      <c r="Q104" s="72"/>
      <c r="R104" s="72"/>
      <c r="S104" s="72"/>
      <c r="T104" s="72"/>
      <c r="U104" s="72"/>
      <c r="V104" s="72"/>
      <c r="W104" s="72"/>
      <c r="X104" s="72"/>
      <c r="Y104" s="72"/>
      <c r="Z104" s="72"/>
    </row>
    <row r="105" spans="1:26" ht="22" customHeight="1" x14ac:dyDescent="0.2">
      <c r="A105" s="70">
        <v>76</v>
      </c>
      <c r="B105" s="57" t="str">
        <f>Solicitud_61LA!C48</f>
        <v>OEA — Rubro Textil: constancias de al menos 30 empleados (en lugar de los 10 del requisito general)</v>
      </c>
      <c r="C105" s="58">
        <f>Solicitud_61LA!F48</f>
        <v>0</v>
      </c>
      <c r="D105" s="73">
        <f t="shared" si="12"/>
        <v>0</v>
      </c>
      <c r="E105" s="73">
        <f t="shared" si="13"/>
        <v>0</v>
      </c>
      <c r="F105" s="74" t="str">
        <f>Solicitud_61LA!B48</f>
        <v>N/A</v>
      </c>
      <c r="G105" s="75"/>
      <c r="H105" s="75"/>
      <c r="I105" s="75"/>
      <c r="J105" s="75"/>
      <c r="K105" s="75"/>
      <c r="L105" s="75"/>
      <c r="M105" s="75"/>
      <c r="N105" s="75"/>
      <c r="O105" s="75"/>
      <c r="P105" s="75"/>
      <c r="Q105" s="75"/>
      <c r="R105" s="75"/>
      <c r="S105" s="75"/>
      <c r="T105" s="75"/>
      <c r="U105" s="75"/>
      <c r="V105" s="75"/>
      <c r="W105" s="75"/>
      <c r="X105" s="75"/>
      <c r="Y105" s="75"/>
      <c r="Z105" s="75"/>
    </row>
    <row r="106" spans="1:26" ht="22" customHeight="1" x14ac:dyDescent="0.2">
      <c r="A106" s="70">
        <v>77</v>
      </c>
      <c r="B106" s="55" t="str">
        <f>Solicitud_61LA!C49</f>
        <v>OEA — Rubro Recinto Fiscalizado Estratégico: concesión o autorización para manejo, almacenaje y custodia de mercancías de CE (arts. 14 y 14-A Ley Aduanera)</v>
      </c>
      <c r="C106" s="56">
        <f>Solicitud_61LA!F49</f>
        <v>0</v>
      </c>
      <c r="D106" s="71">
        <f t="shared" si="12"/>
        <v>0</v>
      </c>
      <c r="E106" s="71">
        <f t="shared" si="13"/>
        <v>0</v>
      </c>
      <c r="F106" s="16" t="str">
        <f>Solicitud_61LA!B49</f>
        <v>N/A</v>
      </c>
      <c r="G106" s="72"/>
      <c r="H106" s="72"/>
      <c r="I106" s="72"/>
      <c r="J106" s="72"/>
      <c r="K106" s="72"/>
      <c r="L106" s="72"/>
      <c r="M106" s="72"/>
      <c r="N106" s="72"/>
      <c r="O106" s="72"/>
      <c r="P106" s="72"/>
      <c r="Q106" s="72"/>
      <c r="R106" s="72"/>
      <c r="S106" s="72"/>
      <c r="T106" s="72"/>
      <c r="U106" s="72"/>
      <c r="V106" s="72"/>
      <c r="W106" s="72"/>
      <c r="X106" s="72"/>
      <c r="Y106" s="72"/>
      <c r="Z106" s="72"/>
    </row>
    <row r="107" spans="1:26" ht="22" customHeight="1" x14ac:dyDescent="0.2">
      <c r="A107" s="70">
        <v>78</v>
      </c>
      <c r="B107" s="57" t="str">
        <f>Solicitud_61LA!C50</f>
        <v>OEA — Rubro Tercerización Logística: contrato con terceros + listado de terceros (nombre, RFC, tipo de registro) + al menos una instalación para servicios logísticos</v>
      </c>
      <c r="C107" s="58">
        <f>Solicitud_61LA!F50</f>
        <v>0</v>
      </c>
      <c r="D107" s="73">
        <f t="shared" si="12"/>
        <v>0</v>
      </c>
      <c r="E107" s="73">
        <f t="shared" si="13"/>
        <v>0</v>
      </c>
      <c r="F107" s="74" t="str">
        <f>Solicitud_61LA!B50</f>
        <v>N/A</v>
      </c>
      <c r="G107" s="75"/>
      <c r="H107" s="75"/>
      <c r="I107" s="75"/>
      <c r="J107" s="75"/>
      <c r="K107" s="75"/>
      <c r="L107" s="75"/>
      <c r="M107" s="75"/>
      <c r="N107" s="75"/>
      <c r="O107" s="75"/>
      <c r="P107" s="75"/>
      <c r="Q107" s="75"/>
      <c r="R107" s="75"/>
      <c r="S107" s="75"/>
      <c r="T107" s="75"/>
      <c r="U107" s="75"/>
      <c r="V107" s="75"/>
      <c r="W107" s="75"/>
      <c r="X107" s="75"/>
      <c r="Y107" s="75"/>
      <c r="Z107" s="75"/>
    </row>
    <row r="108" spans="1:26" ht="22" customHeight="1" x14ac:dyDescent="0.2">
      <c r="A108" s="70">
        <v>79</v>
      </c>
      <c r="B108" s="55" t="str">
        <f>Solicitud_61LA!C51</f>
        <v>Socio Comercial — Auto Transportista Terrestre: doc. de autotransporte federal + Formato E5 + sistemas de rastreo + permiso SICT + 2 años de experiencia + escrito con número de unidades</v>
      </c>
      <c r="C108" s="56">
        <f>Solicitud_61LA!F51</f>
        <v>0</v>
      </c>
      <c r="D108" s="71">
        <f t="shared" si="12"/>
        <v>0</v>
      </c>
      <c r="E108" s="71">
        <f t="shared" si="13"/>
        <v>0</v>
      </c>
      <c r="F108" s="16" t="str">
        <f>Solicitud_61LA!B51</f>
        <v>N/A</v>
      </c>
      <c r="G108" s="72"/>
      <c r="H108" s="72"/>
      <c r="I108" s="72"/>
      <c r="J108" s="72"/>
      <c r="K108" s="72"/>
      <c r="L108" s="72"/>
      <c r="M108" s="72"/>
      <c r="N108" s="72"/>
      <c r="O108" s="72"/>
      <c r="P108" s="72"/>
      <c r="Q108" s="72"/>
      <c r="R108" s="72"/>
      <c r="S108" s="72"/>
      <c r="T108" s="72"/>
      <c r="U108" s="72"/>
      <c r="V108" s="72"/>
      <c r="W108" s="72"/>
      <c r="X108" s="72"/>
      <c r="Y108" s="72"/>
      <c r="Z108" s="72"/>
    </row>
    <row r="109" spans="1:26" ht="22" customHeight="1" x14ac:dyDescent="0.2">
      <c r="A109" s="70">
        <v>80</v>
      </c>
      <c r="B109" s="57" t="str">
        <f>Solicitud_61LA!C52</f>
        <v>Socio Comercial — Agente Aduanal: Formato E4 + patente activa sin procesos en los últimos 3 años + 2 años de despacho por cuenta ajena</v>
      </c>
      <c r="C109" s="58">
        <f>Solicitud_61LA!F52</f>
        <v>0</v>
      </c>
      <c r="D109" s="73">
        <f t="shared" si="12"/>
        <v>0</v>
      </c>
      <c r="E109" s="73">
        <f t="shared" si="13"/>
        <v>0</v>
      </c>
      <c r="F109" s="74" t="str">
        <f>Solicitud_61LA!B52</f>
        <v>N/A</v>
      </c>
      <c r="G109" s="75"/>
      <c r="H109" s="75"/>
      <c r="I109" s="75"/>
      <c r="J109" s="75"/>
      <c r="K109" s="75"/>
      <c r="L109" s="75"/>
      <c r="M109" s="75"/>
      <c r="N109" s="75"/>
      <c r="O109" s="75"/>
      <c r="P109" s="75"/>
      <c r="Q109" s="75"/>
      <c r="R109" s="75"/>
      <c r="S109" s="75"/>
      <c r="T109" s="75"/>
      <c r="U109" s="75"/>
      <c r="V109" s="75"/>
      <c r="W109" s="75"/>
      <c r="X109" s="75"/>
      <c r="Y109" s="75"/>
      <c r="Z109" s="75"/>
    </row>
    <row r="110" spans="1:26" ht="22" customHeight="1" x14ac:dyDescent="0.2">
      <c r="A110" s="70">
        <v>81</v>
      </c>
      <c r="B110" s="55" t="str">
        <f>Solicitud_61LA!C53</f>
        <v>Socio Comercial — Transportista Ferroviario: Formato E9 + concesión/permiso SICT + unidades con sistemas de rastreo + 2 años de experiencia en transporte ferroviario de carga</v>
      </c>
      <c r="C110" s="56">
        <f>Solicitud_61LA!F53</f>
        <v>0</v>
      </c>
      <c r="D110" s="71">
        <f t="shared" si="12"/>
        <v>0</v>
      </c>
      <c r="E110" s="71">
        <f t="shared" si="13"/>
        <v>0</v>
      </c>
      <c r="F110" s="16" t="str">
        <f>Solicitud_61LA!B53</f>
        <v>N/A</v>
      </c>
      <c r="G110" s="72"/>
      <c r="H110" s="72"/>
      <c r="I110" s="72"/>
      <c r="J110" s="72"/>
      <c r="K110" s="72"/>
      <c r="L110" s="72"/>
      <c r="M110" s="72"/>
      <c r="N110" s="72"/>
      <c r="O110" s="72"/>
      <c r="P110" s="72"/>
      <c r="Q110" s="72"/>
      <c r="R110" s="72"/>
      <c r="S110" s="72"/>
      <c r="T110" s="72"/>
      <c r="U110" s="72"/>
      <c r="V110" s="72"/>
      <c r="W110" s="72"/>
      <c r="X110" s="72"/>
      <c r="Y110" s="72"/>
      <c r="Z110" s="72"/>
    </row>
    <row r="111" spans="1:26" ht="22" customHeight="1" x14ac:dyDescent="0.2">
      <c r="A111" s="70">
        <v>82</v>
      </c>
      <c r="B111" s="57" t="str">
        <f>Solicitud_61LA!C54</f>
        <v>Socio Comercial — Mensajería y Paquetería: Formato E6 + contrato ≥5 años con ≥30 aeronaves + rutas aéreas ante DGAC + concesión para manejo/almacenaje + activos fijos ≥USD $1,000,000</v>
      </c>
      <c r="C111" s="58">
        <f>Solicitud_61LA!F54</f>
        <v>0</v>
      </c>
      <c r="D111" s="73">
        <f t="shared" si="12"/>
        <v>0</v>
      </c>
      <c r="E111" s="73">
        <f t="shared" si="13"/>
        <v>0</v>
      </c>
      <c r="F111" s="74" t="str">
        <f>Solicitud_61LA!B54</f>
        <v>N/A</v>
      </c>
      <c r="G111" s="75"/>
      <c r="H111" s="75"/>
      <c r="I111" s="75"/>
      <c r="J111" s="75"/>
      <c r="K111" s="75"/>
      <c r="L111" s="75"/>
      <c r="M111" s="75"/>
      <c r="N111" s="75"/>
      <c r="O111" s="75"/>
      <c r="P111" s="75"/>
      <c r="Q111" s="75"/>
      <c r="R111" s="75"/>
      <c r="S111" s="75"/>
      <c r="T111" s="75"/>
      <c r="U111" s="75"/>
      <c r="V111" s="75"/>
      <c r="W111" s="75"/>
      <c r="X111" s="75"/>
      <c r="Y111" s="75"/>
      <c r="Z111" s="75"/>
    </row>
    <row r="112" spans="1:26" ht="22" customHeight="1" x14ac:dyDescent="0.2">
      <c r="A112" s="70">
        <v>83</v>
      </c>
      <c r="B112" s="55" t="str">
        <f>Solicitud_61LA!C55</f>
        <v>Socio Comercial — Almacén General de Depósito: Formato E11 + autorización vigente para depósito fiscal + 2 años de experiencia</v>
      </c>
      <c r="C112" s="56">
        <f>Solicitud_61LA!F55</f>
        <v>0</v>
      </c>
      <c r="D112" s="71">
        <f t="shared" si="12"/>
        <v>0</v>
      </c>
      <c r="E112" s="71">
        <f t="shared" si="13"/>
        <v>0</v>
      </c>
      <c r="F112" s="16" t="str">
        <f>Solicitud_61LA!B55</f>
        <v>N/A</v>
      </c>
      <c r="G112" s="72"/>
      <c r="H112" s="72"/>
      <c r="I112" s="72"/>
      <c r="J112" s="72"/>
      <c r="K112" s="72"/>
      <c r="L112" s="72"/>
      <c r="M112" s="72"/>
      <c r="N112" s="72"/>
      <c r="O112" s="72"/>
      <c r="P112" s="72"/>
      <c r="Q112" s="72"/>
      <c r="R112" s="72"/>
      <c r="S112" s="72"/>
      <c r="T112" s="72"/>
      <c r="U112" s="72"/>
      <c r="V112" s="72"/>
      <c r="W112" s="72"/>
      <c r="X112" s="72"/>
      <c r="Y112" s="72"/>
      <c r="Z112" s="72"/>
    </row>
    <row r="113" spans="1:26" ht="20" customHeight="1" x14ac:dyDescent="0.2">
      <c r="A113" s="64"/>
      <c r="B113" s="65" t="s">
        <v>69</v>
      </c>
      <c r="C113" s="66" t="s">
        <v>48</v>
      </c>
      <c r="D113" s="67"/>
      <c r="E113" s="67"/>
      <c r="F113" s="68" t="s">
        <v>49</v>
      </c>
      <c r="G113" s="69"/>
      <c r="H113" s="69"/>
      <c r="I113" s="69"/>
      <c r="J113" s="69"/>
      <c r="K113" s="69"/>
      <c r="L113" s="69"/>
      <c r="M113" s="69"/>
      <c r="N113" s="69"/>
      <c r="O113" s="69"/>
      <c r="P113" s="69"/>
      <c r="Q113" s="69"/>
      <c r="R113" s="69"/>
      <c r="S113" s="69"/>
      <c r="T113" s="69"/>
      <c r="U113" s="69"/>
      <c r="V113" s="69"/>
      <c r="W113" s="69"/>
      <c r="X113" s="69"/>
      <c r="Y113" s="69"/>
      <c r="Z113" s="69"/>
    </row>
    <row r="114" spans="1:26" ht="22" customHeight="1" x14ac:dyDescent="0.2">
      <c r="A114" s="70">
        <v>84</v>
      </c>
      <c r="B114" s="57" t="str">
        <f>Solicitud_61LA!C57</f>
        <v>Contar con e.firma vigente</v>
      </c>
      <c r="C114" s="58">
        <f>Solicitud_61LA!F57</f>
        <v>0</v>
      </c>
      <c r="D114" s="73">
        <f t="shared" ref="D114:D131" si="14">$D$113</f>
        <v>0</v>
      </c>
      <c r="E114" s="73">
        <f t="shared" ref="E114:E131" si="15">$E$113</f>
        <v>0</v>
      </c>
      <c r="F114" s="74" t="str">
        <f>Solicitud_61LA!B57</f>
        <v>Pendiente</v>
      </c>
      <c r="G114" s="75"/>
      <c r="H114" s="75"/>
      <c r="I114" s="75"/>
      <c r="J114" s="75"/>
      <c r="K114" s="75"/>
      <c r="L114" s="75"/>
      <c r="M114" s="75"/>
      <c r="N114" s="75"/>
      <c r="O114" s="75"/>
      <c r="P114" s="75"/>
      <c r="Q114" s="75"/>
      <c r="R114" s="75"/>
      <c r="S114" s="75"/>
      <c r="T114" s="75"/>
      <c r="U114" s="75"/>
      <c r="V114" s="75"/>
      <c r="W114" s="75"/>
      <c r="X114" s="75"/>
      <c r="Y114" s="75"/>
      <c r="Z114" s="75"/>
    </row>
    <row r="115" spans="1:26" ht="22" customHeight="1" x14ac:dyDescent="0.2">
      <c r="A115" s="70">
        <v>85</v>
      </c>
      <c r="B115" s="55" t="str">
        <f>Solicitud_61LA!C58</f>
        <v>Estar al corriente en obligaciones fiscales y autorizar al SAT para publicar la opinión positiva (RMF 2.1.24)</v>
      </c>
      <c r="C115" s="56">
        <f>Solicitud_61LA!F58</f>
        <v>0</v>
      </c>
      <c r="D115" s="71">
        <f t="shared" si="14"/>
        <v>0</v>
      </c>
      <c r="E115" s="71">
        <f t="shared" si="15"/>
        <v>0</v>
      </c>
      <c r="F115" s="16" t="str">
        <f>Solicitud_61LA!B58</f>
        <v>Pendiente</v>
      </c>
      <c r="G115" s="72"/>
      <c r="H115" s="72"/>
      <c r="I115" s="72"/>
      <c r="J115" s="72"/>
      <c r="K115" s="72"/>
      <c r="L115" s="72"/>
      <c r="M115" s="72"/>
      <c r="N115" s="72"/>
      <c r="O115" s="72"/>
      <c r="P115" s="72"/>
      <c r="Q115" s="72"/>
      <c r="R115" s="72"/>
      <c r="S115" s="72"/>
      <c r="T115" s="72"/>
      <c r="U115" s="72"/>
      <c r="V115" s="72"/>
      <c r="W115" s="72"/>
      <c r="X115" s="72"/>
      <c r="Y115" s="72"/>
      <c r="Z115" s="72"/>
    </row>
    <row r="116" spans="1:26" ht="22" customHeight="1" x14ac:dyDescent="0.2">
      <c r="A116" s="70">
        <v>86</v>
      </c>
      <c r="B116" s="57" t="str">
        <f>Solicitud_61LA!C59</f>
        <v>Cumplir con la obligación de retener y enterar el ISR de los trabajadores del proceso productivo o servicio</v>
      </c>
      <c r="C116" s="58">
        <f>Solicitud_61LA!F59</f>
        <v>0</v>
      </c>
      <c r="D116" s="73">
        <f t="shared" si="14"/>
        <v>0</v>
      </c>
      <c r="E116" s="73">
        <f t="shared" si="15"/>
        <v>0</v>
      </c>
      <c r="F116" s="74" t="str">
        <f>Solicitud_61LA!B59</f>
        <v>Pendiente</v>
      </c>
      <c r="G116" s="75"/>
      <c r="H116" s="75"/>
      <c r="I116" s="75"/>
      <c r="J116" s="75"/>
      <c r="K116" s="75"/>
      <c r="L116" s="75"/>
      <c r="M116" s="75"/>
      <c r="N116" s="75"/>
      <c r="O116" s="75"/>
      <c r="P116" s="75"/>
      <c r="Q116" s="75"/>
      <c r="R116" s="75"/>
      <c r="S116" s="75"/>
      <c r="T116" s="75"/>
      <c r="U116" s="75"/>
      <c r="V116" s="75"/>
      <c r="W116" s="75"/>
      <c r="X116" s="75"/>
      <c r="Y116" s="75"/>
      <c r="Z116" s="75"/>
    </row>
    <row r="117" spans="1:26" ht="22" customHeight="1" x14ac:dyDescent="0.2">
      <c r="A117" s="70">
        <v>87</v>
      </c>
      <c r="B117" s="55" t="str">
        <f>Solicitud_61LA!C60</f>
        <v>No estar en listados SAT: art. 69 CFF (exc. fracc. VI), art. 69-B cuarto párrafo, art. 69-B Bis noveno párrafo</v>
      </c>
      <c r="C117" s="56">
        <f>Solicitud_61LA!F60</f>
        <v>0</v>
      </c>
      <c r="D117" s="71">
        <f t="shared" si="14"/>
        <v>0</v>
      </c>
      <c r="E117" s="71">
        <f t="shared" si="15"/>
        <v>0</v>
      </c>
      <c r="F117" s="16" t="str">
        <f>Solicitud_61LA!B60</f>
        <v>Pendiente</v>
      </c>
      <c r="G117" s="72"/>
      <c r="H117" s="72"/>
      <c r="I117" s="72"/>
      <c r="J117" s="72"/>
      <c r="K117" s="72"/>
      <c r="L117" s="72"/>
      <c r="M117" s="72"/>
      <c r="N117" s="72"/>
      <c r="O117" s="72"/>
      <c r="P117" s="72"/>
      <c r="Q117" s="72"/>
      <c r="R117" s="72"/>
      <c r="S117" s="72"/>
      <c r="T117" s="72"/>
      <c r="U117" s="72"/>
      <c r="V117" s="72"/>
      <c r="W117" s="72"/>
      <c r="X117" s="72"/>
      <c r="Y117" s="72"/>
      <c r="Z117" s="72"/>
    </row>
    <row r="118" spans="1:26" ht="22" customHeight="1" x14ac:dyDescent="0.2">
      <c r="A118" s="70">
        <v>88</v>
      </c>
      <c r="B118" s="57" t="str">
        <f>Solicitud_61LA!C61</f>
        <v>Contar con certificados de sellos digitales vigentes y no ubicarse en supuestos del art. 17-H Bis CFF en los últimos 12 meses</v>
      </c>
      <c r="C118" s="58">
        <f>Solicitud_61LA!F61</f>
        <v>0</v>
      </c>
      <c r="D118" s="73">
        <f t="shared" si="14"/>
        <v>0</v>
      </c>
      <c r="E118" s="73">
        <f t="shared" si="15"/>
        <v>0</v>
      </c>
      <c r="F118" s="74" t="str">
        <f>Solicitud_61LA!B61</f>
        <v>Pendiente</v>
      </c>
      <c r="G118" s="75"/>
      <c r="H118" s="75"/>
      <c r="I118" s="75"/>
      <c r="J118" s="75"/>
      <c r="K118" s="75"/>
      <c r="L118" s="75"/>
      <c r="M118" s="75"/>
      <c r="N118" s="75"/>
      <c r="O118" s="75"/>
      <c r="P118" s="75"/>
      <c r="Q118" s="75"/>
      <c r="R118" s="75"/>
      <c r="S118" s="75"/>
      <c r="T118" s="75"/>
      <c r="U118" s="75"/>
      <c r="V118" s="75"/>
      <c r="W118" s="75"/>
      <c r="X118" s="75"/>
      <c r="Y118" s="75"/>
      <c r="Z118" s="75"/>
    </row>
    <row r="119" spans="1:26" ht="22" customHeight="1" x14ac:dyDescent="0.2">
      <c r="A119" s="70">
        <v>89</v>
      </c>
      <c r="B119" s="55" t="str">
        <f>Solicitud_61LA!C62</f>
        <v>Tener registrados ante el SAT todos los domicilios vinculados al IMMEX o actividades de CE. El domicilio del contrato debe coincidir con alguno de los registrados ante el SAT</v>
      </c>
      <c r="C119" s="56">
        <f>Solicitud_61LA!F62</f>
        <v>0</v>
      </c>
      <c r="D119" s="71">
        <f t="shared" si="14"/>
        <v>0</v>
      </c>
      <c r="E119" s="71">
        <f t="shared" si="15"/>
        <v>0</v>
      </c>
      <c r="F119" s="16" t="str">
        <f>Solicitud_61LA!B62</f>
        <v>Pendiente</v>
      </c>
      <c r="G119" s="72"/>
      <c r="H119" s="72"/>
      <c r="I119" s="72"/>
      <c r="J119" s="72"/>
      <c r="K119" s="72"/>
      <c r="L119" s="72"/>
      <c r="M119" s="72"/>
      <c r="N119" s="72"/>
      <c r="O119" s="72"/>
      <c r="P119" s="72"/>
      <c r="Q119" s="72"/>
      <c r="R119" s="72"/>
      <c r="S119" s="72"/>
      <c r="T119" s="72"/>
      <c r="U119" s="72"/>
      <c r="V119" s="72"/>
      <c r="W119" s="72"/>
      <c r="X119" s="72"/>
      <c r="Y119" s="72"/>
      <c r="Z119" s="72"/>
    </row>
    <row r="120" spans="1:26" ht="22" customHeight="1" x14ac:dyDescent="0.2">
      <c r="A120" s="70">
        <v>90</v>
      </c>
      <c r="B120" s="57" t="str">
        <f>Solicitud_61LA!C63</f>
        <v>Buzón tributario con estatus 'Validado' (CFF art. 17-K penúltimo párrafo)</v>
      </c>
      <c r="C120" s="58">
        <f>Solicitud_61LA!F63</f>
        <v>0</v>
      </c>
      <c r="D120" s="73">
        <f t="shared" si="14"/>
        <v>0</v>
      </c>
      <c r="E120" s="73">
        <f t="shared" si="15"/>
        <v>0</v>
      </c>
      <c r="F120" s="74" t="str">
        <f>Solicitud_61LA!B63</f>
        <v>Pendiente</v>
      </c>
      <c r="G120" s="75"/>
      <c r="H120" s="75"/>
      <c r="I120" s="75"/>
      <c r="J120" s="75"/>
      <c r="K120" s="75"/>
      <c r="L120" s="75"/>
      <c r="M120" s="75"/>
      <c r="N120" s="75"/>
      <c r="O120" s="75"/>
      <c r="P120" s="75"/>
      <c r="Q120" s="75"/>
      <c r="R120" s="75"/>
      <c r="S120" s="75"/>
      <c r="T120" s="75"/>
      <c r="U120" s="75"/>
      <c r="V120" s="75"/>
      <c r="W120" s="75"/>
      <c r="X120" s="75"/>
      <c r="Y120" s="75"/>
      <c r="Z120" s="75"/>
    </row>
    <row r="121" spans="1:26" ht="22" customHeight="1" x14ac:dyDescent="0.2">
      <c r="A121" s="70">
        <v>91</v>
      </c>
      <c r="B121" s="55" t="str">
        <f>Solicitud_61LA!C64</f>
        <v>No estar suspendido en el Padrón de Importadores, Padrón de Importadores de Sectores Específicos o Padrón de Exportadores Sectorial</v>
      </c>
      <c r="C121" s="56">
        <f>Solicitud_61LA!F64</f>
        <v>0</v>
      </c>
      <c r="D121" s="71">
        <f t="shared" si="14"/>
        <v>0</v>
      </c>
      <c r="E121" s="71">
        <f t="shared" si="15"/>
        <v>0</v>
      </c>
      <c r="F121" s="16" t="str">
        <f>Solicitud_61LA!B64</f>
        <v>Pendiente</v>
      </c>
      <c r="G121" s="72"/>
      <c r="H121" s="72"/>
      <c r="I121" s="72"/>
      <c r="J121" s="72"/>
      <c r="K121" s="72"/>
      <c r="L121" s="72"/>
      <c r="M121" s="72"/>
      <c r="N121" s="72"/>
      <c r="O121" s="72"/>
      <c r="P121" s="72"/>
      <c r="Q121" s="72"/>
      <c r="R121" s="72"/>
      <c r="S121" s="72"/>
      <c r="T121" s="72"/>
      <c r="U121" s="72"/>
      <c r="V121" s="72"/>
      <c r="W121" s="72"/>
      <c r="X121" s="72"/>
      <c r="Y121" s="72"/>
      <c r="Z121" s="72"/>
    </row>
    <row r="122" spans="1:26" ht="22" customHeight="1" x14ac:dyDescent="0.2">
      <c r="A122" s="70">
        <v>92</v>
      </c>
      <c r="B122" s="57" t="str">
        <f>Solicitud_61LA!C65</f>
        <v>El SAT no haya interpuesto querella, denuncia penal o declaratoria de perjuicio contra socios, accionistas, representante legal o administración en los últimos 3 años</v>
      </c>
      <c r="C122" s="58">
        <f>Solicitud_61LA!F65</f>
        <v>0</v>
      </c>
      <c r="D122" s="73">
        <f t="shared" si="14"/>
        <v>0</v>
      </c>
      <c r="E122" s="73">
        <f t="shared" si="15"/>
        <v>0</v>
      </c>
      <c r="F122" s="74" t="str">
        <f>Solicitud_61LA!B65</f>
        <v>Pendiente</v>
      </c>
      <c r="G122" s="75"/>
      <c r="H122" s="75"/>
      <c r="I122" s="75"/>
      <c r="J122" s="75"/>
      <c r="K122" s="75"/>
      <c r="L122" s="75"/>
      <c r="M122" s="75"/>
      <c r="N122" s="75"/>
      <c r="O122" s="75"/>
      <c r="P122" s="75"/>
      <c r="Q122" s="75"/>
      <c r="R122" s="75"/>
      <c r="S122" s="75"/>
      <c r="T122" s="75"/>
      <c r="U122" s="75"/>
      <c r="V122" s="75"/>
      <c r="W122" s="75"/>
      <c r="X122" s="75"/>
      <c r="Y122" s="75"/>
      <c r="Z122" s="75"/>
    </row>
    <row r="123" spans="1:26" ht="22" customHeight="1" x14ac:dyDescent="0.2">
      <c r="A123" s="70">
        <v>93</v>
      </c>
      <c r="B123" s="55" t="str">
        <f>Solicitud_61LA!C66</f>
        <v>Llevar el control de inventarios conforme al art. 59 fracc. I Ley Aduanera y Anexo 24 RGCE</v>
      </c>
      <c r="C123" s="56">
        <f>Solicitud_61LA!F66</f>
        <v>0</v>
      </c>
      <c r="D123" s="71">
        <f t="shared" si="14"/>
        <v>0</v>
      </c>
      <c r="E123" s="71">
        <f t="shared" si="15"/>
        <v>0</v>
      </c>
      <c r="F123" s="16" t="str">
        <f>Solicitud_61LA!B66</f>
        <v>Pendiente</v>
      </c>
      <c r="G123" s="72"/>
      <c r="H123" s="72"/>
      <c r="I123" s="72"/>
      <c r="J123" s="72"/>
      <c r="K123" s="72"/>
      <c r="L123" s="72"/>
      <c r="M123" s="72"/>
      <c r="N123" s="72"/>
      <c r="O123" s="72"/>
      <c r="P123" s="72"/>
      <c r="Q123" s="72"/>
      <c r="R123" s="72"/>
      <c r="S123" s="72"/>
      <c r="T123" s="72"/>
      <c r="U123" s="72"/>
      <c r="V123" s="72"/>
      <c r="W123" s="72"/>
      <c r="X123" s="72"/>
      <c r="Y123" s="72"/>
      <c r="Z123" s="72"/>
    </row>
    <row r="124" spans="1:26" ht="22" customHeight="1" x14ac:dyDescent="0.2">
      <c r="A124" s="70">
        <v>94</v>
      </c>
      <c r="B124" s="57" t="str">
        <f>Solicitud_61LA!C67</f>
        <v>Llevar contabilidad en medios electrónicos e ingresarla mensualmente al Portal SAT (CFF art. 28 fracc. III y IV; RMF 2.8.1.5. y 2.8.1.6.)</v>
      </c>
      <c r="C124" s="58">
        <f>Solicitud_61LA!F67</f>
        <v>0</v>
      </c>
      <c r="D124" s="73">
        <f t="shared" si="14"/>
        <v>0</v>
      </c>
      <c r="E124" s="73">
        <f t="shared" si="15"/>
        <v>0</v>
      </c>
      <c r="F124" s="74" t="str">
        <f>Solicitud_61LA!B67</f>
        <v>Pendiente</v>
      </c>
      <c r="G124" s="75"/>
      <c r="H124" s="75"/>
      <c r="I124" s="75"/>
      <c r="J124" s="75"/>
      <c r="K124" s="75"/>
      <c r="L124" s="75"/>
      <c r="M124" s="75"/>
      <c r="N124" s="75"/>
      <c r="O124" s="75"/>
      <c r="P124" s="75"/>
      <c r="Q124" s="75"/>
      <c r="R124" s="75"/>
      <c r="S124" s="75"/>
      <c r="T124" s="75"/>
      <c r="U124" s="75"/>
      <c r="V124" s="75"/>
      <c r="W124" s="75"/>
      <c r="X124" s="75"/>
      <c r="Y124" s="75"/>
      <c r="Z124" s="75"/>
    </row>
    <row r="125" spans="1:26" ht="22" customHeight="1" x14ac:dyDescent="0.2">
      <c r="A125" s="70">
        <v>95</v>
      </c>
      <c r="B125" s="55" t="str">
        <f>Solicitud_61LA!C68</f>
        <v>Socios, accionistas, representante legal, integrantes de la administración y mandatarios al corriente en obligaciones fiscales</v>
      </c>
      <c r="C125" s="56">
        <f>Solicitud_61LA!F68</f>
        <v>0</v>
      </c>
      <c r="D125" s="71">
        <f t="shared" si="14"/>
        <v>0</v>
      </c>
      <c r="E125" s="71">
        <f t="shared" si="15"/>
        <v>0</v>
      </c>
      <c r="F125" s="16" t="str">
        <f>Solicitud_61LA!B68</f>
        <v>Pendiente</v>
      </c>
      <c r="G125" s="72"/>
      <c r="H125" s="72"/>
      <c r="I125" s="72"/>
      <c r="J125" s="72"/>
      <c r="K125" s="72"/>
      <c r="L125" s="72"/>
      <c r="M125" s="72"/>
      <c r="N125" s="72"/>
      <c r="O125" s="72"/>
      <c r="P125" s="72"/>
      <c r="Q125" s="72"/>
      <c r="R125" s="72"/>
      <c r="S125" s="72"/>
      <c r="T125" s="72"/>
      <c r="U125" s="72"/>
      <c r="V125" s="72"/>
      <c r="W125" s="72"/>
      <c r="X125" s="72"/>
      <c r="Y125" s="72"/>
      <c r="Z125" s="72"/>
    </row>
    <row r="126" spans="1:26" ht="22" customHeight="1" x14ac:dyDescent="0.2">
      <c r="A126" s="70">
        <v>96</v>
      </c>
      <c r="B126" s="57" t="str">
        <f>Solicitud_61LA!C69</f>
        <v>Socios, accionistas, representantes legales e integrantes de la administración no vinculados con empresa a quien se le canceló el Registro del Esquema de Certificación</v>
      </c>
      <c r="C126" s="58">
        <f>Solicitud_61LA!F69</f>
        <v>0</v>
      </c>
      <c r="D126" s="73">
        <f t="shared" si="14"/>
        <v>0</v>
      </c>
      <c r="E126" s="73">
        <f t="shared" si="15"/>
        <v>0</v>
      </c>
      <c r="F126" s="74" t="str">
        <f>Solicitud_61LA!B69</f>
        <v>Pendiente</v>
      </c>
      <c r="G126" s="75"/>
      <c r="H126" s="75"/>
      <c r="I126" s="75"/>
      <c r="J126" s="75"/>
      <c r="K126" s="75"/>
      <c r="L126" s="75"/>
      <c r="M126" s="75"/>
      <c r="N126" s="75"/>
      <c r="O126" s="75"/>
      <c r="P126" s="75"/>
      <c r="Q126" s="75"/>
      <c r="R126" s="75"/>
      <c r="S126" s="75"/>
      <c r="T126" s="75"/>
      <c r="U126" s="75"/>
      <c r="V126" s="75"/>
      <c r="W126" s="75"/>
      <c r="X126" s="75"/>
      <c r="Y126" s="75"/>
      <c r="Z126" s="75"/>
    </row>
    <row r="127" spans="1:26" ht="22" customHeight="1" x14ac:dyDescent="0.2">
      <c r="A127" s="70">
        <v>97</v>
      </c>
      <c r="B127" s="55" t="str">
        <f>Solicitud_61LA!C70</f>
        <v>Haber realizado el pago de derechos art. 40 inciso m) LFD — $40,267.00 mediante e5cinco (Anexo 4 RMF 2026)</v>
      </c>
      <c r="C127" s="56">
        <f>Solicitud_61LA!F70</f>
        <v>0</v>
      </c>
      <c r="D127" s="71">
        <f t="shared" si="14"/>
        <v>0</v>
      </c>
      <c r="E127" s="71">
        <f t="shared" si="15"/>
        <v>0</v>
      </c>
      <c r="F127" s="16" t="str">
        <f>Solicitud_61LA!B70</f>
        <v>Pendiente</v>
      </c>
      <c r="G127" s="72"/>
      <c r="H127" s="72"/>
      <c r="I127" s="72"/>
      <c r="J127" s="72"/>
      <c r="K127" s="72"/>
      <c r="L127" s="72"/>
      <c r="M127" s="72"/>
      <c r="N127" s="72"/>
      <c r="O127" s="72"/>
      <c r="P127" s="72"/>
      <c r="Q127" s="72"/>
      <c r="R127" s="72"/>
      <c r="S127" s="72"/>
      <c r="T127" s="72"/>
      <c r="U127" s="72"/>
      <c r="V127" s="72"/>
      <c r="W127" s="72"/>
      <c r="X127" s="72"/>
      <c r="Y127" s="72"/>
      <c r="Z127" s="72"/>
    </row>
    <row r="128" spans="1:26" ht="22" customHeight="1" x14ac:dyDescent="0.2">
      <c r="A128" s="70">
        <v>98</v>
      </c>
      <c r="B128" s="57" t="str">
        <f>Solicitud_61LA!C71</f>
        <v>Si anteriormente contó con el Registro IVA e IEPS o garantizó el interés fiscal: estar al corriente en obligaciones del Anexo 30 RGCE</v>
      </c>
      <c r="C128" s="58">
        <f>Solicitud_61LA!F71</f>
        <v>0</v>
      </c>
      <c r="D128" s="73">
        <f t="shared" si="14"/>
        <v>0</v>
      </c>
      <c r="E128" s="73">
        <f t="shared" si="15"/>
        <v>0</v>
      </c>
      <c r="F128" s="74" t="str">
        <f>Solicitud_61LA!B71</f>
        <v>Pendiente</v>
      </c>
      <c r="G128" s="75"/>
      <c r="H128" s="75"/>
      <c r="I128" s="75"/>
      <c r="J128" s="75"/>
      <c r="K128" s="75"/>
      <c r="L128" s="75"/>
      <c r="M128" s="75"/>
      <c r="N128" s="75"/>
      <c r="O128" s="75"/>
      <c r="P128" s="75"/>
      <c r="Q128" s="75"/>
      <c r="R128" s="75"/>
      <c r="S128" s="75"/>
      <c r="T128" s="75"/>
      <c r="U128" s="75"/>
      <c r="V128" s="75"/>
      <c r="W128" s="75"/>
      <c r="X128" s="75"/>
      <c r="Y128" s="75"/>
      <c r="Z128" s="75"/>
    </row>
    <row r="129" spans="1:26" ht="22" customHeight="1" x14ac:dyDescent="0.2">
      <c r="A129" s="70">
        <v>99</v>
      </c>
      <c r="B129" s="55" t="str">
        <f>Solicitud_61LA!C72</f>
        <v>Para importación de mercancías Anexo II Decreto IMMEX o Anexo 28 RGCE: haber operado al menos 12 meses previos a la solicitud (salvo grupo conforme a regla 7.1.7 RGCE)</v>
      </c>
      <c r="C129" s="56">
        <f>Solicitud_61LA!F72</f>
        <v>0</v>
      </c>
      <c r="D129" s="71">
        <f t="shared" si="14"/>
        <v>0</v>
      </c>
      <c r="E129" s="71">
        <f t="shared" si="15"/>
        <v>0</v>
      </c>
      <c r="F129" s="16" t="str">
        <f>Solicitud_61LA!B72</f>
        <v>Pendiente</v>
      </c>
      <c r="G129" s="72"/>
      <c r="H129" s="72"/>
      <c r="I129" s="72"/>
      <c r="J129" s="72"/>
      <c r="K129" s="72"/>
      <c r="L129" s="72"/>
      <c r="M129" s="72"/>
      <c r="N129" s="72"/>
      <c r="O129" s="72"/>
      <c r="P129" s="72"/>
      <c r="Q129" s="72"/>
      <c r="R129" s="72"/>
      <c r="S129" s="72"/>
      <c r="T129" s="72"/>
      <c r="U129" s="72"/>
      <c r="V129" s="72"/>
      <c r="W129" s="72"/>
      <c r="X129" s="72"/>
      <c r="Y129" s="72"/>
      <c r="Z129" s="72"/>
    </row>
    <row r="130" spans="1:26" ht="22" customHeight="1" x14ac:dyDescent="0.2">
      <c r="A130" s="70">
        <v>100</v>
      </c>
      <c r="B130" s="57" t="str">
        <f>Solicitud_61LA!C73</f>
        <v>No haberse emitido y notificado resolución de emisión de falsos comprobantes fiscales (art. 49 Bis CFF)</v>
      </c>
      <c r="C130" s="58">
        <f>Solicitud_61LA!F73</f>
        <v>0</v>
      </c>
      <c r="D130" s="73">
        <f t="shared" si="14"/>
        <v>0</v>
      </c>
      <c r="E130" s="73">
        <f t="shared" si="15"/>
        <v>0</v>
      </c>
      <c r="F130" s="74" t="str">
        <f>Solicitud_61LA!B73</f>
        <v>Pendiente</v>
      </c>
      <c r="G130" s="75"/>
      <c r="H130" s="75"/>
      <c r="I130" s="75"/>
      <c r="J130" s="75"/>
      <c r="K130" s="75"/>
      <c r="L130" s="75"/>
      <c r="M130" s="75"/>
      <c r="N130" s="75"/>
      <c r="O130" s="75"/>
      <c r="P130" s="75"/>
      <c r="Q130" s="75"/>
      <c r="R130" s="75"/>
      <c r="S130" s="75"/>
      <c r="T130" s="75"/>
      <c r="U130" s="75"/>
      <c r="V130" s="75"/>
      <c r="W130" s="75"/>
      <c r="X130" s="75"/>
      <c r="Y130" s="75"/>
      <c r="Z130" s="75"/>
    </row>
    <row r="131" spans="1:26" ht="22" customHeight="1" x14ac:dyDescent="0.2">
      <c r="A131" s="70">
        <v>101</v>
      </c>
      <c r="B131" s="55" t="str">
        <f>Solicitud_61LA!C74</f>
        <v>Documentación en idioma distinto al español debe acompañarse de su traducción al español</v>
      </c>
      <c r="C131" s="56">
        <f>Solicitud_61LA!F74</f>
        <v>0</v>
      </c>
      <c r="D131" s="71">
        <f t="shared" si="14"/>
        <v>0</v>
      </c>
      <c r="E131" s="71">
        <f t="shared" si="15"/>
        <v>0</v>
      </c>
      <c r="F131" s="16" t="str">
        <f>Solicitud_61LA!B74</f>
        <v>Pendiente</v>
      </c>
      <c r="G131" s="72"/>
      <c r="H131" s="72"/>
      <c r="I131" s="72"/>
      <c r="J131" s="72"/>
      <c r="K131" s="72"/>
      <c r="L131" s="72"/>
      <c r="M131" s="72"/>
      <c r="N131" s="72"/>
      <c r="O131" s="72"/>
      <c r="P131" s="72"/>
      <c r="Q131" s="72"/>
      <c r="R131" s="72"/>
      <c r="S131" s="72"/>
      <c r="T131" s="72"/>
      <c r="U131" s="72"/>
      <c r="V131" s="72"/>
      <c r="W131" s="72"/>
      <c r="X131" s="72"/>
      <c r="Y131" s="72"/>
      <c r="Z131" s="72"/>
    </row>
    <row r="133" spans="1:26" ht="22" customHeight="1" x14ac:dyDescent="0.2">
      <c r="A133" s="143" t="str">
        <f>IF(COUNTIF(F7:F131,"En riesgo")&gt;0,"⚠️  HAY "&amp;COUNTIF(F7:F131,"En riesgo")&amp;" ÍTEMS EN RIESGO  |  "&amp;COUNTIF(F7:F131,"Cumplido")&amp;" CUMPLIDOS  |  "&amp;COUNTIF(F7:F131,"Pendiente")&amp;" PENDIENTES","✅  TODO EN ORDEN  |  "&amp;COUNTIF(F7:F131,"Cumplido")&amp;" CUMPLIDOS  |  "&amp;COUNTIF(F7:F131,"Pendiente")&amp;" PENDIENTES")</f>
        <v>✅  TODO EN ORDEN  |  0 CUMPLIDOS  |  85 PENDIENTES</v>
      </c>
      <c r="B133" s="96"/>
      <c r="C133" s="96"/>
      <c r="D133" s="96"/>
      <c r="E133" s="96"/>
      <c r="F133" s="96"/>
      <c r="G133" s="96"/>
      <c r="H133" s="96"/>
      <c r="I133" s="96"/>
      <c r="J133" s="96"/>
      <c r="K133" s="96"/>
      <c r="L133" s="96"/>
      <c r="M133" s="96"/>
      <c r="N133" s="96"/>
      <c r="O133" s="96"/>
      <c r="P133" s="96"/>
      <c r="Q133" s="96"/>
      <c r="R133" s="96"/>
      <c r="S133" s="96"/>
      <c r="T133" s="96"/>
      <c r="U133" s="96"/>
      <c r="V133" s="96"/>
      <c r="W133" s="96"/>
      <c r="X133" s="96"/>
      <c r="Y133" s="96"/>
      <c r="Z133" s="96"/>
    </row>
    <row r="135" spans="1:26" ht="15" customHeight="1" x14ac:dyDescent="0.2">
      <c r="A135" s="139" t="s">
        <v>70</v>
      </c>
      <c r="B135" s="96"/>
      <c r="C135" s="96"/>
      <c r="D135" s="96"/>
      <c r="E135" s="96"/>
      <c r="F135" s="96"/>
    </row>
    <row r="136" spans="1:26" ht="14" customHeight="1" x14ac:dyDescent="0.2">
      <c r="A136" s="153" t="s">
        <v>71</v>
      </c>
      <c r="B136" s="96"/>
      <c r="C136" s="142" t="s">
        <v>72</v>
      </c>
      <c r="D136" s="96"/>
      <c r="E136" s="96"/>
      <c r="F136" s="96"/>
    </row>
    <row r="137" spans="1:26" ht="14" customHeight="1" x14ac:dyDescent="0.2">
      <c r="A137" s="150" t="s">
        <v>73</v>
      </c>
      <c r="B137" s="96"/>
      <c r="C137" s="142" t="s">
        <v>74</v>
      </c>
      <c r="D137" s="96"/>
      <c r="E137" s="96"/>
      <c r="F137" s="96"/>
    </row>
    <row r="138" spans="1:26" ht="14" customHeight="1" x14ac:dyDescent="0.2">
      <c r="A138" s="144" t="s">
        <v>75</v>
      </c>
      <c r="B138" s="96"/>
      <c r="C138" s="142" t="s">
        <v>76</v>
      </c>
      <c r="D138" s="96"/>
      <c r="E138" s="96"/>
      <c r="F138" s="96"/>
    </row>
    <row r="139" spans="1:26" ht="14" customHeight="1" x14ac:dyDescent="0.2">
      <c r="A139" s="144" t="s">
        <v>77</v>
      </c>
      <c r="B139" s="96"/>
      <c r="C139" s="142" t="s">
        <v>78</v>
      </c>
      <c r="D139" s="96"/>
      <c r="E139" s="96"/>
      <c r="F139" s="96"/>
    </row>
    <row r="140" spans="1:26" ht="14" customHeight="1" x14ac:dyDescent="0.2">
      <c r="A140" s="147" t="s">
        <v>79</v>
      </c>
      <c r="B140" s="96"/>
      <c r="C140" s="142" t="s">
        <v>80</v>
      </c>
      <c r="D140" s="96"/>
      <c r="E140" s="96"/>
      <c r="F140" s="96"/>
    </row>
    <row r="141" spans="1:26" ht="14" customHeight="1" x14ac:dyDescent="0.2">
      <c r="A141" s="145" t="s">
        <v>81</v>
      </c>
      <c r="B141" s="96"/>
      <c r="C141" s="142" t="s">
        <v>82</v>
      </c>
      <c r="D141" s="96"/>
      <c r="E141" s="96"/>
      <c r="F141" s="96"/>
    </row>
  </sheetData>
  <mergeCells count="22">
    <mergeCell ref="A1:Z1"/>
    <mergeCell ref="A137:B137"/>
    <mergeCell ref="D3:F3"/>
    <mergeCell ref="A135:F135"/>
    <mergeCell ref="A7:Z7"/>
    <mergeCell ref="A136:B136"/>
    <mergeCell ref="A58:Z58"/>
    <mergeCell ref="A3:C3"/>
    <mergeCell ref="A36:Z36"/>
    <mergeCell ref="C136:F136"/>
    <mergeCell ref="C141:F141"/>
    <mergeCell ref="A133:Z133"/>
    <mergeCell ref="A139:B139"/>
    <mergeCell ref="A141:B141"/>
    <mergeCell ref="A2:Z2"/>
    <mergeCell ref="C137:F137"/>
    <mergeCell ref="A140:B140"/>
    <mergeCell ref="C139:F139"/>
    <mergeCell ref="A4:Z4"/>
    <mergeCell ref="C138:F138"/>
    <mergeCell ref="A138:B138"/>
    <mergeCell ref="C140:F140"/>
  </mergeCells>
  <conditionalFormatting sqref="A11:F20">
    <cfRule type="expression" dxfId="115" priority="8">
      <formula>AND(NOT(ISBLANK($E11)),$E11&lt;TODAY(),$F11&lt;&gt;"Cumplido",$F11&lt;&gt;"N/A")</formula>
    </cfRule>
  </conditionalFormatting>
  <conditionalFormatting sqref="A22:F25">
    <cfRule type="expression" dxfId="114" priority="49">
      <formula>AND(NOT(ISBLANK($E22)),$E22&lt;TODAY(),$F22&lt;&gt;"Cumplido",$F22&lt;&gt;"N/A")</formula>
    </cfRule>
  </conditionalFormatting>
  <conditionalFormatting sqref="A27:F32">
    <cfRule type="expression" dxfId="113" priority="66">
      <formula>AND(NOT(ISBLANK($E27)),$E27&lt;TODAY(),$F27&lt;&gt;"Cumplido",$F27&lt;&gt;"N/A")</formula>
    </cfRule>
  </conditionalFormatting>
  <conditionalFormatting sqref="A34:F35">
    <cfRule type="expression" dxfId="112" priority="91">
      <formula>AND(NOT(ISBLANK($E34)),$E34&lt;TODAY(),$F34&lt;&gt;"Cumplido",$F34&lt;&gt;"N/A")</formula>
    </cfRule>
  </conditionalFormatting>
  <conditionalFormatting sqref="A40:F49">
    <cfRule type="expression" dxfId="111" priority="102">
      <formula>AND(NOT(ISBLANK($E40)),$E40&lt;TODAY(),$F40&lt;&gt;"Cumplido",$F40&lt;&gt;"N/A")</formula>
    </cfRule>
  </conditionalFormatting>
  <conditionalFormatting sqref="A51:F53">
    <cfRule type="expression" dxfId="110" priority="143">
      <formula>AND(NOT(ISBLANK($E51)),$E51&lt;TODAY(),$F51&lt;&gt;"Cumplido",$F51&lt;&gt;"N/A")</formula>
    </cfRule>
  </conditionalFormatting>
  <conditionalFormatting sqref="A55:F57">
    <cfRule type="expression" dxfId="109" priority="156">
      <formula>AND(NOT(ISBLANK($E55)),$E55&lt;TODAY(),$F55&lt;&gt;"Cumplido",$F55&lt;&gt;"N/A")</formula>
    </cfRule>
  </conditionalFormatting>
  <conditionalFormatting sqref="A62:F69">
    <cfRule type="expression" dxfId="108" priority="171">
      <formula>AND(NOT(ISBLANK($E62)),$E62&lt;TODAY(),$F62&lt;&gt;"Cumplido",$F62&lt;&gt;"N/A")</formula>
    </cfRule>
  </conditionalFormatting>
  <conditionalFormatting sqref="A71:F85">
    <cfRule type="expression" dxfId="107" priority="204">
      <formula>AND(NOT(ISBLANK($E71)),$E71&lt;TODAY(),$F71&lt;&gt;"Cumplido",$F71&lt;&gt;"N/A")</formula>
    </cfRule>
  </conditionalFormatting>
  <conditionalFormatting sqref="A87:F92">
    <cfRule type="expression" dxfId="106" priority="265">
      <formula>AND(NOT(ISBLANK($E87)),$E87&lt;TODAY(),$F87&lt;&gt;"Cumplido",$F87&lt;&gt;"N/A")</formula>
    </cfRule>
  </conditionalFormatting>
  <conditionalFormatting sqref="A94:F95">
    <cfRule type="expression" dxfId="105" priority="290">
      <formula>AND(NOT(ISBLANK($E94)),$E94&lt;TODAY(),$F94&lt;&gt;"Cumplido",$F94&lt;&gt;"N/A")</formula>
    </cfRule>
  </conditionalFormatting>
  <conditionalFormatting sqref="A97:F97">
    <cfRule type="expression" dxfId="104" priority="299">
      <formula>AND(NOT(ISBLANK($E97)),$E97&lt;TODAY(),$F97&lt;&gt;"Cumplido",$F97&lt;&gt;"N/A")</formula>
    </cfRule>
  </conditionalFormatting>
  <conditionalFormatting sqref="A99:F100">
    <cfRule type="expression" dxfId="103" priority="304">
      <formula>AND(NOT(ISBLANK($E99)),$E99&lt;TODAY(),$F99&lt;&gt;"Cumplido",$F99&lt;&gt;"N/A")</formula>
    </cfRule>
  </conditionalFormatting>
  <conditionalFormatting sqref="A102:F112">
    <cfRule type="expression" dxfId="102" priority="313">
      <formula>AND(NOT(ISBLANK($E102)),$E102&lt;TODAY(),$F102&lt;&gt;"Cumplido",$F102&lt;&gt;"N/A")</formula>
    </cfRule>
  </conditionalFormatting>
  <conditionalFormatting sqref="A114:F131">
    <cfRule type="expression" dxfId="101" priority="358">
      <formula>AND(NOT(ISBLANK($E114)),$E114&lt;TODAY(),$F114&lt;&gt;"Cumplido",$F114&lt;&gt;"N/A")</formula>
    </cfRule>
  </conditionalFormatting>
  <conditionalFormatting sqref="A133:Z133">
    <cfRule type="expression" dxfId="100" priority="427">
      <formula>COUNTIF(F7:F131,"En riesgo")&gt;0</formula>
    </cfRule>
  </conditionalFormatting>
  <conditionalFormatting sqref="G6:Z6">
    <cfRule type="expression" dxfId="99" priority="1">
      <formula>AND(G6&gt;=TODAY(),G6&lt;TODAY()+7)</formula>
    </cfRule>
  </conditionalFormatting>
  <conditionalFormatting sqref="G8:Z10">
    <cfRule type="expression" dxfId="98" priority="2">
      <formula>AND(NOT(ISBLANK($D8)),NOT(ISBLANK($E8)),G$6&gt;=$D8,G$6&lt;=$E8)</formula>
    </cfRule>
  </conditionalFormatting>
  <conditionalFormatting sqref="G11:Z20">
    <cfRule type="expression" dxfId="97" priority="7">
      <formula>AND($F11="Pendiente",NOT(ISBLANK($D11)),NOT(ISBLANK($E11)),G$6&gt;=$D11,G$6&lt;=$E11)</formula>
    </cfRule>
    <cfRule type="expression" dxfId="96" priority="6">
      <formula>AND($F11="En riesgo",NOT(ISBLANK($D11)),NOT(ISBLANK($E11)),G$6&gt;=$D11,G$6&lt;=$E11)</formula>
    </cfRule>
    <cfRule type="expression" dxfId="95" priority="5">
      <formula>AND($F11="Cumplido",NOT(ISBLANK($D11)),NOT(ISBLANK($E11)),G$6&gt;=$D11,G$6&lt;=$E11)</formula>
    </cfRule>
  </conditionalFormatting>
  <conditionalFormatting sqref="G21:Z21">
    <cfRule type="expression" dxfId="94" priority="45">
      <formula>AND(NOT(ISBLANK($D21)),NOT(ISBLANK($E21)),G$6&gt;=$D21,G$6&lt;=$E21)</formula>
    </cfRule>
  </conditionalFormatting>
  <conditionalFormatting sqref="G22:Z25">
    <cfRule type="expression" dxfId="93" priority="46">
      <formula>AND($F22="Cumplido",NOT(ISBLANK($D22)),NOT(ISBLANK($E22)),G$6&gt;=$D22,G$6&lt;=$E22)</formula>
    </cfRule>
    <cfRule type="expression" dxfId="92" priority="48">
      <formula>AND($F22="Pendiente",NOT(ISBLANK($D22)),NOT(ISBLANK($E22)),G$6&gt;=$D22,G$6&lt;=$E22)</formula>
    </cfRule>
    <cfRule type="expression" dxfId="91" priority="47">
      <formula>AND($F22="En riesgo",NOT(ISBLANK($D22)),NOT(ISBLANK($E22)),G$6&gt;=$D22,G$6&lt;=$E22)</formula>
    </cfRule>
  </conditionalFormatting>
  <conditionalFormatting sqref="G26:Z26">
    <cfRule type="expression" dxfId="90" priority="62">
      <formula>AND(NOT(ISBLANK($D26)),NOT(ISBLANK($E26)),G$6&gt;=$D26,G$6&lt;=$E26)</formula>
    </cfRule>
  </conditionalFormatting>
  <conditionalFormatting sqref="G27:Z32">
    <cfRule type="expression" dxfId="89" priority="64">
      <formula>AND($F27="En riesgo",NOT(ISBLANK($D27)),NOT(ISBLANK($E27)),G$6&gt;=$D27,G$6&lt;=$E27)</formula>
    </cfRule>
    <cfRule type="expression" dxfId="88" priority="65">
      <formula>AND($F27="Pendiente",NOT(ISBLANK($D27)),NOT(ISBLANK($E27)),G$6&gt;=$D27,G$6&lt;=$E27)</formula>
    </cfRule>
    <cfRule type="expression" dxfId="87" priority="63">
      <formula>AND($F27="Cumplido",NOT(ISBLANK($D27)),NOT(ISBLANK($E27)),G$6&gt;=$D27,G$6&lt;=$E27)</formula>
    </cfRule>
  </conditionalFormatting>
  <conditionalFormatting sqref="G33:Z33">
    <cfRule type="expression" dxfId="86" priority="87">
      <formula>AND(NOT(ISBLANK($D33)),NOT(ISBLANK($E33)),G$6&gt;=$D33,G$6&lt;=$E33)</formula>
    </cfRule>
  </conditionalFormatting>
  <conditionalFormatting sqref="G34:Z35">
    <cfRule type="expression" dxfId="85" priority="88">
      <formula>AND($F34="Cumplido",NOT(ISBLANK($D34)),NOT(ISBLANK($E34)),G$6&gt;=$D34,G$6&lt;=$E34)</formula>
    </cfRule>
    <cfRule type="expression" dxfId="84" priority="90">
      <formula>AND($F34="Pendiente",NOT(ISBLANK($D34)),NOT(ISBLANK($E34)),G$6&gt;=$D34,G$6&lt;=$E34)</formula>
    </cfRule>
    <cfRule type="expression" dxfId="83" priority="89">
      <formula>AND($F34="En riesgo",NOT(ISBLANK($D34)),NOT(ISBLANK($E34)),G$6&gt;=$D34,G$6&lt;=$E34)</formula>
    </cfRule>
  </conditionalFormatting>
  <conditionalFormatting sqref="G37:Z39">
    <cfRule type="expression" dxfId="82" priority="96">
      <formula>AND(NOT(ISBLANK($D37)),NOT(ISBLANK($E37)),G$6&gt;=$D37,G$6&lt;=$E37)</formula>
    </cfRule>
  </conditionalFormatting>
  <conditionalFormatting sqref="G40:Z49">
    <cfRule type="expression" dxfId="81" priority="101">
      <formula>AND($F40="Pendiente",NOT(ISBLANK($D40)),NOT(ISBLANK($E40)),G$6&gt;=$D40,G$6&lt;=$E40)</formula>
    </cfRule>
    <cfRule type="expression" dxfId="80" priority="100">
      <formula>AND($F40="En riesgo",NOT(ISBLANK($D40)),NOT(ISBLANK($E40)),G$6&gt;=$D40,G$6&lt;=$E40)</formula>
    </cfRule>
    <cfRule type="expression" dxfId="79" priority="99">
      <formula>AND($F40="Cumplido",NOT(ISBLANK($D40)),NOT(ISBLANK($E40)),G$6&gt;=$D40,G$6&lt;=$E40)</formula>
    </cfRule>
  </conditionalFormatting>
  <conditionalFormatting sqref="G50:Z50">
    <cfRule type="expression" dxfId="78" priority="139">
      <formula>AND(NOT(ISBLANK($D50)),NOT(ISBLANK($E50)),G$6&gt;=$D50,G$6&lt;=$E50)</formula>
    </cfRule>
  </conditionalFormatting>
  <conditionalFormatting sqref="G51:Z53">
    <cfRule type="expression" dxfId="77" priority="142">
      <formula>AND($F51="Pendiente",NOT(ISBLANK($D51)),NOT(ISBLANK($E51)),G$6&gt;=$D51,G$6&lt;=$E51)</formula>
    </cfRule>
    <cfRule type="expression" dxfId="76" priority="141">
      <formula>AND($F51="En riesgo",NOT(ISBLANK($D51)),NOT(ISBLANK($E51)),G$6&gt;=$D51,G$6&lt;=$E51)</formula>
    </cfRule>
    <cfRule type="expression" dxfId="75" priority="140">
      <formula>AND($F51="Cumplido",NOT(ISBLANK($D51)),NOT(ISBLANK($E51)),G$6&gt;=$D51,G$6&lt;=$E51)</formula>
    </cfRule>
  </conditionalFormatting>
  <conditionalFormatting sqref="G54:Z54">
    <cfRule type="expression" dxfId="74" priority="152">
      <formula>AND(NOT(ISBLANK($D54)),NOT(ISBLANK($E54)),G$6&gt;=$D54,G$6&lt;=$E54)</formula>
    </cfRule>
  </conditionalFormatting>
  <conditionalFormatting sqref="G55:Z57">
    <cfRule type="expression" dxfId="73" priority="153">
      <formula>AND($F55="Cumplido",NOT(ISBLANK($D55)),NOT(ISBLANK($E55)),G$6&gt;=$D55,G$6&lt;=$E55)</formula>
    </cfRule>
    <cfRule type="expression" dxfId="72" priority="154">
      <formula>AND($F55="En riesgo",NOT(ISBLANK($D55)),NOT(ISBLANK($E55)),G$6&gt;=$D55,G$6&lt;=$E55)</formula>
    </cfRule>
    <cfRule type="expression" dxfId="71" priority="155">
      <formula>AND($F55="Pendiente",NOT(ISBLANK($D55)),NOT(ISBLANK($E55)),G$6&gt;=$D55,G$6&lt;=$E55)</formula>
    </cfRule>
  </conditionalFormatting>
  <conditionalFormatting sqref="G59:Z61">
    <cfRule type="expression" dxfId="70" priority="165">
      <formula>AND(NOT(ISBLANK($D59)),NOT(ISBLANK($E59)),G$6&gt;=$D59,G$6&lt;=$E59)</formula>
    </cfRule>
  </conditionalFormatting>
  <conditionalFormatting sqref="G62:Z69">
    <cfRule type="expression" dxfId="69" priority="169">
      <formula>AND($F62="En riesgo",NOT(ISBLANK($D62)),NOT(ISBLANK($E62)),G$6&gt;=$D62,G$6&lt;=$E62)</formula>
    </cfRule>
    <cfRule type="expression" dxfId="68" priority="168">
      <formula>AND($F62="Cumplido",NOT(ISBLANK($D62)),NOT(ISBLANK($E62)),G$6&gt;=$D62,G$6&lt;=$E62)</formula>
    </cfRule>
    <cfRule type="expression" dxfId="67" priority="170">
      <formula>AND($F62="Pendiente",NOT(ISBLANK($D62)),NOT(ISBLANK($E62)),G$6&gt;=$D62,G$6&lt;=$E62)</formula>
    </cfRule>
  </conditionalFormatting>
  <conditionalFormatting sqref="G70:Z70">
    <cfRule type="expression" dxfId="66" priority="200">
      <formula>AND(NOT(ISBLANK($D70)),NOT(ISBLANK($E70)),G$6&gt;=$D70,G$6&lt;=$E70)</formula>
    </cfRule>
  </conditionalFormatting>
  <conditionalFormatting sqref="G71:Z85">
    <cfRule type="expression" dxfId="65" priority="202">
      <formula>AND($F71="En riesgo",NOT(ISBLANK($D71)),NOT(ISBLANK($E71)),G$6&gt;=$D71,G$6&lt;=$E71)</formula>
    </cfRule>
    <cfRule type="expression" dxfId="64" priority="203">
      <formula>AND($F71="Pendiente",NOT(ISBLANK($D71)),NOT(ISBLANK($E71)),G$6&gt;=$D71,G$6&lt;=$E71)</formula>
    </cfRule>
    <cfRule type="expression" dxfId="63" priority="201">
      <formula>AND($F71="Cumplido",NOT(ISBLANK($D71)),NOT(ISBLANK($E71)),G$6&gt;=$D71,G$6&lt;=$E71)</formula>
    </cfRule>
  </conditionalFormatting>
  <conditionalFormatting sqref="G86:Z86">
    <cfRule type="expression" dxfId="62" priority="261">
      <formula>AND(NOT(ISBLANK($D86)),NOT(ISBLANK($E86)),G$6&gt;=$D86,G$6&lt;=$E86)</formula>
    </cfRule>
  </conditionalFormatting>
  <conditionalFormatting sqref="G87:Z92">
    <cfRule type="expression" dxfId="61" priority="262">
      <formula>AND($F87="Cumplido",NOT(ISBLANK($D87)),NOT(ISBLANK($E87)),G$6&gt;=$D87,G$6&lt;=$E87)</formula>
    </cfRule>
    <cfRule type="expression" dxfId="60" priority="264">
      <formula>AND($F87="Pendiente",NOT(ISBLANK($D87)),NOT(ISBLANK($E87)),G$6&gt;=$D87,G$6&lt;=$E87)</formula>
    </cfRule>
    <cfRule type="expression" dxfId="59" priority="263">
      <formula>AND($F87="En riesgo",NOT(ISBLANK($D87)),NOT(ISBLANK($E87)),G$6&gt;=$D87,G$6&lt;=$E87)</formula>
    </cfRule>
  </conditionalFormatting>
  <conditionalFormatting sqref="G93:Z93">
    <cfRule type="expression" dxfId="58" priority="286">
      <formula>AND(NOT(ISBLANK($D93)),NOT(ISBLANK($E93)),G$6&gt;=$D93,G$6&lt;=$E93)</formula>
    </cfRule>
  </conditionalFormatting>
  <conditionalFormatting sqref="G94:Z95">
    <cfRule type="expression" dxfId="57" priority="289">
      <formula>AND($F94="Pendiente",NOT(ISBLANK($D94)),NOT(ISBLANK($E94)),G$6&gt;=$D94,G$6&lt;=$E94)</formula>
    </cfRule>
    <cfRule type="expression" dxfId="56" priority="288">
      <formula>AND($F94="En riesgo",NOT(ISBLANK($D94)),NOT(ISBLANK($E94)),G$6&gt;=$D94,G$6&lt;=$E94)</formula>
    </cfRule>
    <cfRule type="expression" dxfId="55" priority="287">
      <formula>AND($F94="Cumplido",NOT(ISBLANK($D94)),NOT(ISBLANK($E94)),G$6&gt;=$D94,G$6&lt;=$E94)</formula>
    </cfRule>
  </conditionalFormatting>
  <conditionalFormatting sqref="G96:Z96">
    <cfRule type="expression" dxfId="54" priority="295">
      <formula>AND(NOT(ISBLANK($D96)),NOT(ISBLANK($E96)),G$6&gt;=$D96,G$6&lt;=$E96)</formula>
    </cfRule>
  </conditionalFormatting>
  <conditionalFormatting sqref="G97:Z97">
    <cfRule type="expression" dxfId="53" priority="296">
      <formula>AND($F97="Cumplido",NOT(ISBLANK($D97)),NOT(ISBLANK($E97)),G$6&gt;=$D97,G$6&lt;=$E97)</formula>
    </cfRule>
    <cfRule type="expression" dxfId="52" priority="297">
      <formula>AND($F97="En riesgo",NOT(ISBLANK($D97)),NOT(ISBLANK($E97)),G$6&gt;=$D97,G$6&lt;=$E97)</formula>
    </cfRule>
    <cfRule type="expression" dxfId="51" priority="298">
      <formula>AND($F97="Pendiente",NOT(ISBLANK($D97)),NOT(ISBLANK($E97)),G$6&gt;=$D97,G$6&lt;=$E97)</formula>
    </cfRule>
  </conditionalFormatting>
  <conditionalFormatting sqref="G98:Z98">
    <cfRule type="expression" dxfId="50" priority="300">
      <formula>AND(NOT(ISBLANK($D98)),NOT(ISBLANK($E98)),G$6&gt;=$D98,G$6&lt;=$E98)</formula>
    </cfRule>
  </conditionalFormatting>
  <conditionalFormatting sqref="G99:Z100">
    <cfRule type="expression" dxfId="49" priority="302">
      <formula>AND($F99="En riesgo",NOT(ISBLANK($D99)),NOT(ISBLANK($E99)),G$6&gt;=$D99,G$6&lt;=$E99)</formula>
    </cfRule>
    <cfRule type="expression" dxfId="48" priority="303">
      <formula>AND($F99="Pendiente",NOT(ISBLANK($D99)),NOT(ISBLANK($E99)),G$6&gt;=$D99,G$6&lt;=$E99)</formula>
    </cfRule>
    <cfRule type="expression" dxfId="47" priority="301">
      <formula>AND($F99="Cumplido",NOT(ISBLANK($D99)),NOT(ISBLANK($E99)),G$6&gt;=$D99,G$6&lt;=$E99)</formula>
    </cfRule>
  </conditionalFormatting>
  <conditionalFormatting sqref="G101:Z101">
    <cfRule type="expression" dxfId="46" priority="309">
      <formula>AND(NOT(ISBLANK($D101)),NOT(ISBLANK($E101)),G$6&gt;=$D101,G$6&lt;=$E101)</formula>
    </cfRule>
  </conditionalFormatting>
  <conditionalFormatting sqref="G102:Z112">
    <cfRule type="expression" dxfId="45" priority="310">
      <formula>AND($F102="Cumplido",NOT(ISBLANK($D102)),NOT(ISBLANK($E102)),G$6&gt;=$D102,G$6&lt;=$E102)</formula>
    </cfRule>
    <cfRule type="expression" dxfId="44" priority="311">
      <formula>AND($F102="En riesgo",NOT(ISBLANK($D102)),NOT(ISBLANK($E102)),G$6&gt;=$D102,G$6&lt;=$E102)</formula>
    </cfRule>
    <cfRule type="expression" dxfId="43" priority="312">
      <formula>AND($F102="Pendiente",NOT(ISBLANK($D102)),NOT(ISBLANK($E102)),G$6&gt;=$D102,G$6&lt;=$E102)</formula>
    </cfRule>
  </conditionalFormatting>
  <conditionalFormatting sqref="G113:Z113">
    <cfRule type="expression" dxfId="42" priority="354">
      <formula>AND(NOT(ISBLANK($D113)),NOT(ISBLANK($E113)),G$6&gt;=$D113,G$6&lt;=$E113)</formula>
    </cfRule>
  </conditionalFormatting>
  <conditionalFormatting sqref="G114:Z131">
    <cfRule type="expression" dxfId="41" priority="355">
      <formula>AND($F114="Cumplido",NOT(ISBLANK($D114)),NOT(ISBLANK($E114)),G$6&gt;=$D114,G$6&lt;=$E114)</formula>
    </cfRule>
    <cfRule type="expression" dxfId="40" priority="356">
      <formula>AND($F114="En riesgo",NOT(ISBLANK($D114)),NOT(ISBLANK($E114)),G$6&gt;=$D114,G$6&lt;=$E114)</formula>
    </cfRule>
    <cfRule type="expression" dxfId="39" priority="357">
      <formula>AND($F114="Pendiente",NOT(ISBLANK($D114)),NOT(ISBLANK($E114)),G$6&gt;=$D114,G$6&lt;=$E114)</formula>
    </cfRule>
  </conditionalFormatting>
  <dataValidations count="1">
    <dataValidation type="date" operator="greaterThan" allowBlank="1" showErrorMessage="1" errorTitle="Fecha inválida" error="Ingrese una fecha válida" sqref="D7:E142" xr:uid="{00000000-0002-0000-0100-000000000000}">
      <formula1>DATE(2020,1,1)</formula1>
    </dataValidation>
  </dataValidation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9"/>
  <sheetViews>
    <sheetView showGridLines="0" zoomScale="150" workbookViewId="0">
      <selection activeCell="C9" sqref="C9"/>
    </sheetView>
  </sheetViews>
  <sheetFormatPr baseColWidth="10" defaultColWidth="8.83203125" defaultRowHeight="15" x14ac:dyDescent="0.2"/>
  <cols>
    <col min="1" max="1" width="42" customWidth="1"/>
    <col min="2" max="2" width="12" customWidth="1"/>
    <col min="3" max="3" width="19" bestFit="1" customWidth="1"/>
    <col min="4" max="4" width="14" customWidth="1"/>
    <col min="5" max="7" width="13" customWidth="1"/>
  </cols>
  <sheetData>
    <row r="1" spans="1:7" ht="55" customHeight="1" x14ac:dyDescent="0.2">
      <c r="A1" s="76" t="s">
        <v>83</v>
      </c>
      <c r="B1" s="77"/>
      <c r="C1" s="77"/>
      <c r="D1" s="77"/>
      <c r="E1" s="77"/>
      <c r="F1" s="77"/>
      <c r="G1" s="78"/>
    </row>
    <row r="2" spans="1:7" ht="18" customHeight="1" x14ac:dyDescent="0.2">
      <c r="A2" s="85" t="s">
        <v>84</v>
      </c>
      <c r="B2" s="86"/>
      <c r="C2" s="86"/>
      <c r="D2" s="86"/>
      <c r="E2" s="86"/>
      <c r="F2" s="86"/>
      <c r="G2" s="86"/>
    </row>
    <row r="3" spans="1:7" ht="6" customHeight="1" x14ac:dyDescent="0.2"/>
    <row r="4" spans="1:7" ht="16" customHeight="1" x14ac:dyDescent="0.2">
      <c r="A4" s="93" t="s">
        <v>85</v>
      </c>
      <c r="B4" s="80"/>
      <c r="C4" s="80"/>
      <c r="D4" s="80"/>
      <c r="E4" s="80"/>
      <c r="F4" s="80"/>
      <c r="G4" s="81"/>
    </row>
    <row r="5" spans="1:7" ht="22" customHeight="1" x14ac:dyDescent="0.2">
      <c r="A5" s="87" t="str">
        <f>TEXT(E12,"0%")&amp;" completado  |  "&amp;TEXT(C12,"0")&amp;" cumplidos de "&amp;TEXT(B12,"0")&amp;" ítems  |  "&amp;TEXT(F12,"0")&amp;" documentos adjuntos  |  "&amp;TEXT(G12,"0")&amp;" fechas registradas"</f>
        <v>0% completado  |  0 cumplidos de 101 ítems  |  0 documentos adjuntos  |  0 fechas registradas</v>
      </c>
      <c r="B5" s="80"/>
      <c r="C5" s="80"/>
      <c r="D5" s="80"/>
      <c r="E5" s="80"/>
      <c r="F5" s="80"/>
      <c r="G5" s="81"/>
    </row>
    <row r="7" spans="1:7" ht="20" customHeight="1" x14ac:dyDescent="0.2">
      <c r="A7" s="79" t="s">
        <v>86</v>
      </c>
      <c r="B7" s="80"/>
      <c r="C7" s="80"/>
      <c r="D7" s="80"/>
      <c r="E7" s="80"/>
      <c r="F7" s="80"/>
      <c r="G7" s="81"/>
    </row>
    <row r="8" spans="1:7" ht="20" customHeight="1" x14ac:dyDescent="0.2">
      <c r="A8" s="1" t="s">
        <v>87</v>
      </c>
      <c r="B8" s="1" t="s">
        <v>88</v>
      </c>
      <c r="C8" s="1" t="s">
        <v>89</v>
      </c>
      <c r="D8" s="1" t="s">
        <v>90</v>
      </c>
      <c r="E8" s="1" t="s">
        <v>91</v>
      </c>
      <c r="F8" s="1" t="s">
        <v>92</v>
      </c>
      <c r="G8" s="1" t="s">
        <v>93</v>
      </c>
    </row>
    <row r="9" spans="1:7" ht="18" customHeight="1" x14ac:dyDescent="0.2">
      <c r="A9" s="2" t="s">
        <v>94</v>
      </c>
      <c r="B9" s="3">
        <f>COUNTIF(Req_Generales!B:B,"Pendiente")+COUNTIF(Req_Generales!B:B,"Cumplido")+COUNTIF(Req_Generales!B:B,"En riesgo")+COUNTIF(Req_Generales!B:B,"N/A")</f>
        <v>22</v>
      </c>
      <c r="C9" s="3">
        <f>COUNTIF(Req_Generales!B:B,"Cumplido")</f>
        <v>0</v>
      </c>
      <c r="D9" s="3">
        <f>COUNTIF(Req_Generales!B:B,"En riesgo")</f>
        <v>0</v>
      </c>
      <c r="E9" s="4">
        <f>IF(B9=0,0,C9/B9)</f>
        <v>0</v>
      </c>
      <c r="F9" s="3">
        <f>COUNTIF(Req_Generales!E:E,"Adjunto")</f>
        <v>0</v>
      </c>
      <c r="G9" s="3">
        <f>COUNTA(Req_Generales!G:G)-1</f>
        <v>0</v>
      </c>
    </row>
    <row r="10" spans="1:7" ht="18" customHeight="1" x14ac:dyDescent="0.2">
      <c r="A10" s="5" t="s">
        <v>95</v>
      </c>
      <c r="B10" s="6">
        <f>COUNTIF(Req_Rubro!B:B,"Pendiente")+COUNTIF(Req_Rubro!B:B,"Cumplido")+COUNTIF(Req_Rubro!B:B,"En riesgo")+COUNTIF(Req_Rubro!B:B,"N/A")</f>
        <v>16</v>
      </c>
      <c r="C10" s="6">
        <f>COUNTIF(Req_Rubro!B:B,"Cumplido")</f>
        <v>0</v>
      </c>
      <c r="D10" s="6">
        <f>COUNTIF(Req_Rubro!B:B,"En riesgo")</f>
        <v>0</v>
      </c>
      <c r="E10" s="7">
        <f>IF(B10=0,0,C10/B10)</f>
        <v>0</v>
      </c>
      <c r="F10" s="6">
        <f>COUNTIF(Req_Rubro!E:E,"Adjunto")</f>
        <v>0</v>
      </c>
      <c r="G10" s="6">
        <f>COUNTA(Req_Rubro!G:G)-1</f>
        <v>0</v>
      </c>
    </row>
    <row r="11" spans="1:7" ht="18" customHeight="1" x14ac:dyDescent="0.2">
      <c r="A11" s="2" t="s">
        <v>96</v>
      </c>
      <c r="B11" s="3">
        <f>COUNTIF(Solicitud_61LA!B:B,"Pendiente")+COUNTIF(Solicitud_61LA!B:B,"Cumplido")+COUNTIF(Solicitud_61LA!B:B,"En riesgo")+COUNTIF(Solicitud_61LA!B:B,"N/A")</f>
        <v>63</v>
      </c>
      <c r="C11" s="3">
        <f>COUNTIF(Solicitud_61LA!B:B,"Cumplido")</f>
        <v>0</v>
      </c>
      <c r="D11" s="3">
        <f>COUNTIF(Solicitud_61LA!B:B,"En riesgo")</f>
        <v>0</v>
      </c>
      <c r="E11" s="4">
        <f>IF(B11=0,0,C11/B11)</f>
        <v>0</v>
      </c>
      <c r="F11" s="3">
        <f>COUNTIF(Solicitud_61LA!E:E,"Adjunto")</f>
        <v>0</v>
      </c>
      <c r="G11" s="3">
        <f>COUNTA(Solicitud_61LA!G:G)-1</f>
        <v>0</v>
      </c>
    </row>
    <row r="12" spans="1:7" ht="20" customHeight="1" x14ac:dyDescent="0.2">
      <c r="A12" s="31" t="s">
        <v>97</v>
      </c>
      <c r="B12" s="32">
        <f>SUM(B9:B11)</f>
        <v>101</v>
      </c>
      <c r="C12" s="32">
        <f>SUM(C9:C11)</f>
        <v>0</v>
      </c>
      <c r="D12" s="32">
        <f>SUM(D9:D11)</f>
        <v>0</v>
      </c>
      <c r="E12" s="33">
        <f>IF(B12=0,0,C12/B12)</f>
        <v>0</v>
      </c>
      <c r="F12" s="32">
        <f>SUM(F9:F11)</f>
        <v>0</v>
      </c>
      <c r="G12" s="32">
        <f>SUM(G9:G11)</f>
        <v>0</v>
      </c>
    </row>
    <row r="14" spans="1:7" ht="20" customHeight="1" x14ac:dyDescent="0.2">
      <c r="A14" s="88" t="s">
        <v>98</v>
      </c>
      <c r="B14" s="89"/>
      <c r="C14" s="89"/>
      <c r="D14" s="89"/>
      <c r="E14" s="89"/>
      <c r="F14" s="89"/>
      <c r="G14" s="90"/>
    </row>
    <row r="15" spans="1:7" ht="28" customHeight="1" x14ac:dyDescent="0.2">
      <c r="A15" s="94" t="s">
        <v>99</v>
      </c>
      <c r="B15" s="89"/>
      <c r="C15" s="89"/>
      <c r="D15" s="89"/>
      <c r="E15" s="89"/>
      <c r="F15" s="89"/>
      <c r="G15" s="90"/>
    </row>
    <row r="16" spans="1:7" ht="20" customHeight="1" x14ac:dyDescent="0.2">
      <c r="A16" s="1" t="s">
        <v>87</v>
      </c>
      <c r="B16" s="1" t="s">
        <v>88</v>
      </c>
      <c r="C16" s="1" t="s">
        <v>89</v>
      </c>
      <c r="D16" s="1" t="s">
        <v>90</v>
      </c>
      <c r="E16" s="1" t="s">
        <v>91</v>
      </c>
      <c r="F16" s="1"/>
      <c r="G16" s="1"/>
    </row>
    <row r="17" spans="1:7" ht="18" customHeight="1" x14ac:dyDescent="0.2">
      <c r="A17" s="8" t="s">
        <v>100</v>
      </c>
      <c r="B17" s="9">
        <f>COUNTIF(Obligaciones!B:B,"Pendiente")+COUNTIF(Obligaciones!B:B,"Cumplido")+COUNTIF(Obligaciones!B:B,"En riesgo")+COUNTIF(Obligaciones!B:B,"N/A")</f>
        <v>18</v>
      </c>
      <c r="C17" s="9">
        <f>COUNTIF(Obligaciones!B:B,"Cumplido")</f>
        <v>0</v>
      </c>
      <c r="D17" s="9">
        <f>COUNTIF(Obligaciones!B:B,"En riesgo")</f>
        <v>0</v>
      </c>
      <c r="E17" s="10">
        <f>IF(B17=0,0,C17/B17)</f>
        <v>0</v>
      </c>
      <c r="F17" s="34" t="s">
        <v>101</v>
      </c>
      <c r="G17" s="34" t="s">
        <v>101</v>
      </c>
    </row>
    <row r="18" spans="1:7" ht="18" customHeight="1" x14ac:dyDescent="0.2">
      <c r="A18" s="11" t="s">
        <v>102</v>
      </c>
      <c r="B18" s="12">
        <f>COUNTIF(Requerimiento!B:B,"Pendiente")+COUNTIF(Requerimiento!B:B,"Cumplido")+COUNTIF(Requerimiento!B:B,"En riesgo")+COUNTIF(Requerimiento!B:B,"N/A")</f>
        <v>16</v>
      </c>
      <c r="C18" s="12">
        <f>COUNTIF(Requerimiento!B:B,"Cumplido")</f>
        <v>0</v>
      </c>
      <c r="D18" s="12">
        <f>COUNTIF(Requerimiento!B:B,"En riesgo")</f>
        <v>0</v>
      </c>
      <c r="E18" s="13">
        <f>IF(B18=0,0,C18/B18)</f>
        <v>0</v>
      </c>
      <c r="F18" s="35" t="s">
        <v>101</v>
      </c>
      <c r="G18" s="35" t="s">
        <v>101</v>
      </c>
    </row>
    <row r="19" spans="1:7" ht="18" customHeight="1" x14ac:dyDescent="0.2">
      <c r="A19" s="8" t="s">
        <v>103</v>
      </c>
      <c r="B19" s="9">
        <f>COUNTIF(Cancelacion!B:B,"Pendiente")+COUNTIF(Cancelacion!B:B,"Cumplido")+COUNTIF(Cancelacion!B:B,"En riesgo")+COUNTIF(Cancelacion!B:B,"N/A")</f>
        <v>20</v>
      </c>
      <c r="C19" s="9">
        <f>COUNTIF(Cancelacion!B:B,"Cumplido")</f>
        <v>0</v>
      </c>
      <c r="D19" s="9">
        <f>COUNTIF(Cancelacion!B:B,"En riesgo")</f>
        <v>0</v>
      </c>
      <c r="E19" s="10">
        <f>IF(B19=0,0,C19/B19)</f>
        <v>0</v>
      </c>
      <c r="F19" s="34" t="s">
        <v>101</v>
      </c>
      <c r="G19" s="34" t="s">
        <v>101</v>
      </c>
    </row>
    <row r="20" spans="1:7" ht="20" customHeight="1" x14ac:dyDescent="0.2">
      <c r="A20" s="36" t="s">
        <v>104</v>
      </c>
      <c r="B20" s="37">
        <f>SUM(B17:B19)</f>
        <v>54</v>
      </c>
      <c r="C20" s="37">
        <f>SUM(C17:C19)</f>
        <v>0</v>
      </c>
      <c r="D20" s="37">
        <f>SUM(D17:D19)</f>
        <v>0</v>
      </c>
      <c r="E20" s="38">
        <f>IF(B20=0,0,C20/B20)</f>
        <v>0</v>
      </c>
      <c r="F20" s="37" t="s">
        <v>105</v>
      </c>
      <c r="G20" s="37" t="s">
        <v>105</v>
      </c>
    </row>
    <row r="22" spans="1:7" ht="16" customHeight="1" x14ac:dyDescent="0.2">
      <c r="A22" s="92" t="s">
        <v>106</v>
      </c>
      <c r="B22" s="77"/>
      <c r="C22" s="77"/>
      <c r="D22" s="77"/>
      <c r="E22" s="77"/>
      <c r="F22" s="77"/>
      <c r="G22" s="78"/>
    </row>
    <row r="23" spans="1:7" ht="14" customHeight="1" x14ac:dyDescent="0.2">
      <c r="A23" s="97" t="s">
        <v>107</v>
      </c>
      <c r="B23" s="83"/>
      <c r="C23" s="84"/>
      <c r="D23" s="97" t="s">
        <v>108</v>
      </c>
      <c r="E23" s="83"/>
      <c r="F23" s="83"/>
      <c r="G23" s="84"/>
    </row>
    <row r="24" spans="1:7" ht="15" customHeight="1" x14ac:dyDescent="0.2">
      <c r="A24" s="91" t="s">
        <v>109</v>
      </c>
      <c r="B24" s="84"/>
      <c r="C24" s="17" t="s">
        <v>110</v>
      </c>
      <c r="D24" s="18" t="s">
        <v>111</v>
      </c>
      <c r="E24" s="82" t="s">
        <v>112</v>
      </c>
      <c r="F24" s="83"/>
      <c r="G24" s="84"/>
    </row>
    <row r="25" spans="1:7" ht="15" customHeight="1" x14ac:dyDescent="0.2">
      <c r="A25" s="98" t="s">
        <v>113</v>
      </c>
      <c r="B25" s="84"/>
      <c r="C25" s="17" t="s">
        <v>114</v>
      </c>
      <c r="D25" s="19" t="s">
        <v>115</v>
      </c>
      <c r="E25" s="82" t="s">
        <v>116</v>
      </c>
      <c r="F25" s="83"/>
      <c r="G25" s="84"/>
    </row>
    <row r="26" spans="1:7" ht="15" customHeight="1" x14ac:dyDescent="0.2">
      <c r="A26" s="100" t="s">
        <v>117</v>
      </c>
      <c r="B26" s="84"/>
      <c r="C26" s="17" t="s">
        <v>118</v>
      </c>
      <c r="D26" s="20" t="s">
        <v>119</v>
      </c>
      <c r="E26" s="82" t="s">
        <v>120</v>
      </c>
      <c r="F26" s="83"/>
      <c r="G26" s="84"/>
    </row>
    <row r="27" spans="1:7" ht="15" customHeight="1" x14ac:dyDescent="0.2">
      <c r="A27" s="99" t="s">
        <v>101</v>
      </c>
      <c r="B27" s="84"/>
      <c r="C27" s="17" t="s">
        <v>121</v>
      </c>
      <c r="D27" s="39" t="s">
        <v>22</v>
      </c>
      <c r="E27" s="82" t="s">
        <v>122</v>
      </c>
      <c r="F27" s="83"/>
      <c r="G27" s="84"/>
    </row>
    <row r="29" spans="1:7" x14ac:dyDescent="0.2">
      <c r="A29" s="95" t="s">
        <v>123</v>
      </c>
      <c r="B29" s="96"/>
      <c r="C29" s="96"/>
      <c r="D29" s="96"/>
      <c r="E29" s="96"/>
      <c r="F29" s="96"/>
      <c r="G29" s="96"/>
    </row>
  </sheetData>
  <mergeCells count="19">
    <mergeCell ref="A29:G29"/>
    <mergeCell ref="D23:G23"/>
    <mergeCell ref="A25:B25"/>
    <mergeCell ref="A23:C23"/>
    <mergeCell ref="E27:G27"/>
    <mergeCell ref="E26:G26"/>
    <mergeCell ref="A27:B27"/>
    <mergeCell ref="E25:G25"/>
    <mergeCell ref="A26:B26"/>
    <mergeCell ref="A1:G1"/>
    <mergeCell ref="A7:G7"/>
    <mergeCell ref="E24:G24"/>
    <mergeCell ref="A2:G2"/>
    <mergeCell ref="A5:G5"/>
    <mergeCell ref="A14:G14"/>
    <mergeCell ref="A24:B24"/>
    <mergeCell ref="A22:G22"/>
    <mergeCell ref="A4:G4"/>
    <mergeCell ref="A15:G15"/>
  </mergeCells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9"/>
  <sheetViews>
    <sheetView showGridLines="0" workbookViewId="0">
      <pane ySplit="4" topLeftCell="A8" activePane="bottomLeft" state="frozen"/>
      <selection pane="bottomLeft" activeCell="B5" sqref="B5"/>
    </sheetView>
  </sheetViews>
  <sheetFormatPr baseColWidth="10" defaultColWidth="8.83203125" defaultRowHeight="15" x14ac:dyDescent="0.2"/>
  <cols>
    <col min="1" max="1" width="5" customWidth="1"/>
    <col min="2" max="2" width="22" customWidth="1"/>
    <col min="3" max="3" width="58" customWidth="1"/>
    <col min="4" max="4" width="22" customWidth="1"/>
    <col min="5" max="5" width="36" customWidth="1"/>
    <col min="6" max="6" width="22" customWidth="1"/>
    <col min="7" max="7" width="16" customWidth="1"/>
  </cols>
  <sheetData>
    <row r="1" spans="1:7" ht="48" customHeight="1" x14ac:dyDescent="0.2">
      <c r="A1" s="155" t="s">
        <v>124</v>
      </c>
      <c r="B1" s="77"/>
      <c r="C1" s="77"/>
      <c r="D1" s="77"/>
      <c r="E1" s="78"/>
      <c r="F1" s="40"/>
      <c r="G1" s="40"/>
    </row>
    <row r="2" spans="1:7" ht="14" customHeight="1" x14ac:dyDescent="0.2">
      <c r="A2" s="156" t="s">
        <v>125</v>
      </c>
      <c r="B2" s="157"/>
      <c r="C2" s="157"/>
      <c r="D2" s="157"/>
      <c r="E2" s="157"/>
      <c r="F2" s="41"/>
      <c r="G2" s="41"/>
    </row>
    <row r="3" spans="1:7" ht="22" customHeight="1" x14ac:dyDescent="0.2">
      <c r="A3" s="15" t="s">
        <v>20</v>
      </c>
      <c r="B3" s="15" t="s">
        <v>25</v>
      </c>
      <c r="C3" s="15" t="s">
        <v>126</v>
      </c>
      <c r="D3" s="15" t="s">
        <v>127</v>
      </c>
      <c r="E3" s="15" t="s">
        <v>128</v>
      </c>
      <c r="F3" s="15" t="s">
        <v>22</v>
      </c>
      <c r="G3" s="15" t="s">
        <v>129</v>
      </c>
    </row>
    <row r="4" spans="1:7" ht="18" customHeight="1" x14ac:dyDescent="0.2">
      <c r="A4" s="152" t="s">
        <v>51</v>
      </c>
      <c r="B4" s="77"/>
      <c r="C4" s="77"/>
      <c r="D4" s="77"/>
      <c r="E4" s="78"/>
      <c r="F4" s="42"/>
      <c r="G4" s="42"/>
    </row>
    <row r="5" spans="1:7" ht="32" customHeight="1" x14ac:dyDescent="0.2">
      <c r="A5" s="22">
        <v>1</v>
      </c>
      <c r="B5" s="23" t="s">
        <v>109</v>
      </c>
      <c r="C5" s="24" t="s">
        <v>130</v>
      </c>
      <c r="D5" s="25" t="s">
        <v>131</v>
      </c>
      <c r="E5" s="24"/>
      <c r="F5" s="27"/>
      <c r="G5" s="43"/>
    </row>
    <row r="6" spans="1:7" ht="32" customHeight="1" x14ac:dyDescent="0.2">
      <c r="A6" s="22">
        <v>2</v>
      </c>
      <c r="B6" s="26" t="s">
        <v>109</v>
      </c>
      <c r="C6" s="27" t="s">
        <v>132</v>
      </c>
      <c r="D6" s="28" t="s">
        <v>133</v>
      </c>
      <c r="E6" s="27"/>
      <c r="F6" s="24"/>
      <c r="G6" s="44"/>
    </row>
    <row r="7" spans="1:7" ht="32" customHeight="1" x14ac:dyDescent="0.2">
      <c r="A7" s="22">
        <v>3</v>
      </c>
      <c r="B7" s="23" t="s">
        <v>109</v>
      </c>
      <c r="C7" s="24" t="s">
        <v>134</v>
      </c>
      <c r="D7" s="25" t="s">
        <v>135</v>
      </c>
      <c r="E7" s="24"/>
      <c r="F7" s="27"/>
      <c r="G7" s="43"/>
    </row>
    <row r="8" spans="1:7" ht="32" customHeight="1" x14ac:dyDescent="0.2">
      <c r="A8" s="22">
        <v>4</v>
      </c>
      <c r="B8" s="26" t="s">
        <v>109</v>
      </c>
      <c r="C8" s="27" t="s">
        <v>136</v>
      </c>
      <c r="D8" s="28" t="s">
        <v>137</v>
      </c>
      <c r="E8" s="27"/>
      <c r="F8" s="24"/>
      <c r="G8" s="44"/>
    </row>
    <row r="9" spans="1:7" ht="32" customHeight="1" x14ac:dyDescent="0.2">
      <c r="A9" s="22">
        <v>5</v>
      </c>
      <c r="B9" s="23" t="s">
        <v>109</v>
      </c>
      <c r="C9" s="24" t="s">
        <v>138</v>
      </c>
      <c r="D9" s="25" t="s">
        <v>139</v>
      </c>
      <c r="E9" s="24"/>
      <c r="F9" s="27"/>
      <c r="G9" s="43"/>
    </row>
    <row r="10" spans="1:7" ht="32" customHeight="1" x14ac:dyDescent="0.2">
      <c r="A10" s="22">
        <v>6</v>
      </c>
      <c r="B10" s="26" t="s">
        <v>109</v>
      </c>
      <c r="C10" s="27" t="s">
        <v>140</v>
      </c>
      <c r="D10" s="28" t="s">
        <v>141</v>
      </c>
      <c r="E10" s="27"/>
      <c r="F10" s="24"/>
      <c r="G10" s="44"/>
    </row>
    <row r="11" spans="1:7" ht="32" customHeight="1" x14ac:dyDescent="0.2">
      <c r="A11" s="22">
        <v>7</v>
      </c>
      <c r="B11" s="23" t="s">
        <v>109</v>
      </c>
      <c r="C11" s="24" t="s">
        <v>142</v>
      </c>
      <c r="D11" s="25" t="s">
        <v>143</v>
      </c>
      <c r="E11" s="24"/>
      <c r="F11" s="27"/>
      <c r="G11" s="43"/>
    </row>
    <row r="12" spans="1:7" ht="32" customHeight="1" x14ac:dyDescent="0.2">
      <c r="A12" s="22">
        <v>8</v>
      </c>
      <c r="B12" s="26" t="s">
        <v>109</v>
      </c>
      <c r="C12" s="27" t="s">
        <v>144</v>
      </c>
      <c r="D12" s="28" t="s">
        <v>145</v>
      </c>
      <c r="E12" s="27"/>
      <c r="F12" s="24"/>
      <c r="G12" s="44"/>
    </row>
    <row r="13" spans="1:7" ht="32" customHeight="1" x14ac:dyDescent="0.2">
      <c r="A13" s="22">
        <v>9</v>
      </c>
      <c r="B13" s="23" t="s">
        <v>109</v>
      </c>
      <c r="C13" s="24" t="s">
        <v>146</v>
      </c>
      <c r="D13" s="25" t="s">
        <v>147</v>
      </c>
      <c r="E13" s="24"/>
      <c r="F13" s="27"/>
      <c r="G13" s="43"/>
    </row>
    <row r="14" spans="1:7" ht="32" customHeight="1" x14ac:dyDescent="0.2">
      <c r="A14" s="22">
        <v>10</v>
      </c>
      <c r="B14" s="26" t="s">
        <v>109</v>
      </c>
      <c r="C14" s="27" t="s">
        <v>148</v>
      </c>
      <c r="D14" s="28" t="s">
        <v>149</v>
      </c>
      <c r="E14" s="27"/>
      <c r="F14" s="24"/>
      <c r="G14" s="44"/>
    </row>
    <row r="15" spans="1:7" ht="18" customHeight="1" x14ac:dyDescent="0.2">
      <c r="A15" s="152" t="s">
        <v>52</v>
      </c>
      <c r="B15" s="77"/>
      <c r="C15" s="77"/>
      <c r="D15" s="77"/>
      <c r="E15" s="78"/>
      <c r="F15" s="42"/>
      <c r="G15" s="42"/>
    </row>
    <row r="16" spans="1:7" ht="32" customHeight="1" x14ac:dyDescent="0.2">
      <c r="A16" s="22">
        <v>11</v>
      </c>
      <c r="B16" s="23" t="s">
        <v>109</v>
      </c>
      <c r="C16" s="24" t="s">
        <v>150</v>
      </c>
      <c r="D16" s="25" t="s">
        <v>151</v>
      </c>
      <c r="E16" s="24"/>
      <c r="F16" s="27"/>
      <c r="G16" s="43"/>
    </row>
    <row r="17" spans="1:7" ht="32" customHeight="1" x14ac:dyDescent="0.2">
      <c r="A17" s="22">
        <v>12</v>
      </c>
      <c r="B17" s="26" t="s">
        <v>109</v>
      </c>
      <c r="C17" s="27" t="s">
        <v>152</v>
      </c>
      <c r="D17" s="28" t="s">
        <v>153</v>
      </c>
      <c r="E17" s="27"/>
      <c r="F17" s="24"/>
      <c r="G17" s="44"/>
    </row>
    <row r="18" spans="1:7" ht="32" customHeight="1" x14ac:dyDescent="0.2">
      <c r="A18" s="22">
        <v>13</v>
      </c>
      <c r="B18" s="23" t="s">
        <v>109</v>
      </c>
      <c r="C18" s="24" t="s">
        <v>154</v>
      </c>
      <c r="D18" s="25" t="s">
        <v>155</v>
      </c>
      <c r="E18" s="24"/>
      <c r="F18" s="27"/>
      <c r="G18" s="43"/>
    </row>
    <row r="19" spans="1:7" ht="32" customHeight="1" x14ac:dyDescent="0.2">
      <c r="A19" s="22">
        <v>14</v>
      </c>
      <c r="B19" s="26" t="s">
        <v>109</v>
      </c>
      <c r="C19" s="27" t="s">
        <v>156</v>
      </c>
      <c r="D19" s="28" t="s">
        <v>157</v>
      </c>
      <c r="E19" s="27"/>
      <c r="F19" s="24"/>
      <c r="G19" s="44"/>
    </row>
    <row r="20" spans="1:7" ht="18" customHeight="1" x14ac:dyDescent="0.2">
      <c r="A20" s="152" t="s">
        <v>53</v>
      </c>
      <c r="B20" s="77"/>
      <c r="C20" s="77"/>
      <c r="D20" s="77"/>
      <c r="E20" s="78"/>
      <c r="F20" s="42"/>
      <c r="G20" s="42"/>
    </row>
    <row r="21" spans="1:7" ht="32" customHeight="1" x14ac:dyDescent="0.2">
      <c r="A21" s="22">
        <v>15</v>
      </c>
      <c r="B21" s="23" t="s">
        <v>109</v>
      </c>
      <c r="C21" s="24" t="s">
        <v>158</v>
      </c>
      <c r="D21" s="25" t="s">
        <v>159</v>
      </c>
      <c r="E21" s="24"/>
      <c r="F21" s="27"/>
      <c r="G21" s="43"/>
    </row>
    <row r="22" spans="1:7" ht="32" customHeight="1" x14ac:dyDescent="0.2">
      <c r="A22" s="22">
        <v>16</v>
      </c>
      <c r="B22" s="26" t="s">
        <v>109</v>
      </c>
      <c r="C22" s="27" t="s">
        <v>160</v>
      </c>
      <c r="D22" s="28" t="s">
        <v>161</v>
      </c>
      <c r="E22" s="27"/>
      <c r="F22" s="24"/>
      <c r="G22" s="44"/>
    </row>
    <row r="23" spans="1:7" ht="32" customHeight="1" x14ac:dyDescent="0.2">
      <c r="A23" s="22">
        <v>17</v>
      </c>
      <c r="B23" s="23" t="s">
        <v>109</v>
      </c>
      <c r="C23" s="24" t="s">
        <v>162</v>
      </c>
      <c r="D23" s="25" t="s">
        <v>163</v>
      </c>
      <c r="E23" s="24"/>
      <c r="F23" s="27"/>
      <c r="G23" s="43"/>
    </row>
    <row r="24" spans="1:7" ht="32" customHeight="1" x14ac:dyDescent="0.2">
      <c r="A24" s="22">
        <v>18</v>
      </c>
      <c r="B24" s="26" t="s">
        <v>109</v>
      </c>
      <c r="C24" s="27" t="s">
        <v>164</v>
      </c>
      <c r="D24" s="28" t="s">
        <v>165</v>
      </c>
      <c r="E24" s="27"/>
      <c r="F24" s="24"/>
      <c r="G24" s="44"/>
    </row>
    <row r="25" spans="1:7" ht="32" customHeight="1" x14ac:dyDescent="0.2">
      <c r="A25" s="22">
        <v>19</v>
      </c>
      <c r="B25" s="23" t="s">
        <v>109</v>
      </c>
      <c r="C25" s="24" t="s">
        <v>166</v>
      </c>
      <c r="D25" s="25" t="s">
        <v>167</v>
      </c>
      <c r="E25" s="24"/>
      <c r="F25" s="27"/>
      <c r="G25" s="43"/>
    </row>
    <row r="26" spans="1:7" ht="32" customHeight="1" x14ac:dyDescent="0.2">
      <c r="A26" s="22">
        <v>20</v>
      </c>
      <c r="B26" s="26" t="s">
        <v>109</v>
      </c>
      <c r="C26" s="27" t="s">
        <v>168</v>
      </c>
      <c r="D26" s="28" t="s">
        <v>169</v>
      </c>
      <c r="E26" s="27"/>
      <c r="F26" s="24"/>
      <c r="G26" s="44"/>
    </row>
    <row r="27" spans="1:7" ht="18" customHeight="1" x14ac:dyDescent="0.2">
      <c r="A27" s="152" t="s">
        <v>54</v>
      </c>
      <c r="B27" s="77"/>
      <c r="C27" s="77"/>
      <c r="D27" s="77"/>
      <c r="E27" s="78"/>
      <c r="F27" s="42"/>
      <c r="G27" s="42"/>
    </row>
    <row r="28" spans="1:7" ht="32" customHeight="1" x14ac:dyDescent="0.2">
      <c r="A28" s="22">
        <v>21</v>
      </c>
      <c r="B28" s="23" t="s">
        <v>109</v>
      </c>
      <c r="C28" s="24" t="s">
        <v>170</v>
      </c>
      <c r="D28" s="25" t="s">
        <v>171</v>
      </c>
      <c r="E28" s="24"/>
      <c r="F28" s="27"/>
      <c r="G28" s="43"/>
    </row>
    <row r="29" spans="1:7" ht="32" customHeight="1" x14ac:dyDescent="0.2">
      <c r="A29" s="22">
        <v>22</v>
      </c>
      <c r="B29" s="26" t="s">
        <v>109</v>
      </c>
      <c r="C29" s="27" t="s">
        <v>172</v>
      </c>
      <c r="D29" s="28" t="s">
        <v>173</v>
      </c>
      <c r="E29" s="27"/>
      <c r="F29" s="24"/>
      <c r="G29" s="44"/>
    </row>
  </sheetData>
  <mergeCells count="6">
    <mergeCell ref="A1:E1"/>
    <mergeCell ref="A27:E27"/>
    <mergeCell ref="A4:E4"/>
    <mergeCell ref="A20:E20"/>
    <mergeCell ref="A2:E2"/>
    <mergeCell ref="A15:E15"/>
  </mergeCells>
  <conditionalFormatting sqref="A5:E30">
    <cfRule type="expression" dxfId="38" priority="1">
      <formula>$B5="Cumplido"</formula>
    </cfRule>
    <cfRule type="expression" dxfId="37" priority="2">
      <formula>$B5="En riesgo"</formula>
    </cfRule>
    <cfRule type="expression" dxfId="36" priority="3">
      <formula>$B5="N/A"</formula>
    </cfRule>
  </conditionalFormatting>
  <conditionalFormatting sqref="E5:E30">
    <cfRule type="expression" dxfId="35" priority="4">
      <formula>$E5="Adjunto"</formula>
    </cfRule>
    <cfRule type="expression" dxfId="34" priority="5">
      <formula>$E5="Sin documento"</formula>
    </cfRule>
    <cfRule type="expression" dxfId="33" priority="6">
      <formula>$E5="No aplica"</formula>
    </cfRule>
  </conditionalFormatting>
  <conditionalFormatting sqref="G4:G29">
    <cfRule type="expression" dxfId="32" priority="7">
      <formula>NOT(ISBLANK(G4))</formula>
    </cfRule>
  </conditionalFormatting>
  <dataValidations count="4">
    <dataValidation type="list" sqref="B5:B30" xr:uid="{00000000-0002-0000-0300-000000000000}">
      <formula1>"Pendiente,Cumplido,En riesgo,N/A"</formula1>
    </dataValidation>
    <dataValidation type="list" allowBlank="1" sqref="E5:E30" xr:uid="{00000000-0002-0000-0300-000001000000}">
      <formula1>"Sin documento,Adjunto,No aplica"</formula1>
    </dataValidation>
    <dataValidation type="list" allowBlank="1" sqref="F4:F29" xr:uid="{00000000-0002-0000-0300-000002000000}">
      <formula1>"Cliente,Asesor Russell Bedford,AGACE,Otro"</formula1>
    </dataValidation>
    <dataValidation type="date" operator="greaterThan" allowBlank="1" showErrorMessage="1" errorTitle="Fecha inválida" error="Ingrese una fecha válida en formato DD/MM/AAAA" sqref="G4:G29" xr:uid="{00000000-0002-0000-0300-000003000000}">
      <formula1>DATE(2020,1,1)</formula1>
    </dataValidation>
  </dataValidations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2"/>
  <sheetViews>
    <sheetView showGridLines="0" workbookViewId="0">
      <pane ySplit="4" topLeftCell="A69" activePane="bottomLeft" state="frozen"/>
      <selection pane="bottomLeft" sqref="A1:E1"/>
    </sheetView>
  </sheetViews>
  <sheetFormatPr baseColWidth="10" defaultColWidth="8.83203125" defaultRowHeight="15" x14ac:dyDescent="0.2"/>
  <cols>
    <col min="1" max="1" width="5" customWidth="1"/>
    <col min="2" max="2" width="22" customWidth="1"/>
    <col min="3" max="3" width="58" customWidth="1"/>
    <col min="4" max="4" width="22" customWidth="1"/>
    <col min="5" max="5" width="36" customWidth="1"/>
    <col min="6" max="6" width="22" customWidth="1"/>
    <col min="7" max="7" width="16" customWidth="1"/>
  </cols>
  <sheetData>
    <row r="1" spans="1:7" ht="48" customHeight="1" x14ac:dyDescent="0.2">
      <c r="A1" s="160" t="s">
        <v>174</v>
      </c>
      <c r="B1" s="80"/>
      <c r="C1" s="80"/>
      <c r="D1" s="80"/>
      <c r="E1" s="81"/>
      <c r="F1" s="45"/>
      <c r="G1" s="45"/>
    </row>
    <row r="2" spans="1:7" ht="14" customHeight="1" x14ac:dyDescent="0.2">
      <c r="A2" s="159" t="s">
        <v>125</v>
      </c>
      <c r="B2" s="86"/>
      <c r="C2" s="86"/>
      <c r="D2" s="86"/>
      <c r="E2" s="86"/>
      <c r="F2" s="41"/>
      <c r="G2" s="41"/>
    </row>
    <row r="3" spans="1:7" ht="22" customHeight="1" x14ac:dyDescent="0.2">
      <c r="A3" s="14" t="s">
        <v>20</v>
      </c>
      <c r="B3" s="14" t="s">
        <v>25</v>
      </c>
      <c r="C3" s="14" t="s">
        <v>126</v>
      </c>
      <c r="D3" s="14" t="s">
        <v>127</v>
      </c>
      <c r="E3" s="14" t="s">
        <v>128</v>
      </c>
      <c r="F3" s="15" t="s">
        <v>22</v>
      </c>
      <c r="G3" s="15" t="s">
        <v>129</v>
      </c>
    </row>
    <row r="4" spans="1:7" ht="18" customHeight="1" x14ac:dyDescent="0.2">
      <c r="A4" s="158" t="s">
        <v>57</v>
      </c>
      <c r="B4" s="80"/>
      <c r="C4" s="80"/>
      <c r="D4" s="80"/>
      <c r="E4" s="81"/>
      <c r="F4" s="46"/>
      <c r="G4" s="46"/>
    </row>
    <row r="5" spans="1:7" ht="32" customHeight="1" x14ac:dyDescent="0.2">
      <c r="A5" s="22">
        <v>1</v>
      </c>
      <c r="B5" s="23" t="s">
        <v>109</v>
      </c>
      <c r="C5" s="24" t="s">
        <v>175</v>
      </c>
      <c r="D5" s="25" t="s">
        <v>176</v>
      </c>
      <c r="E5" s="24"/>
      <c r="F5" s="27"/>
      <c r="G5" s="43"/>
    </row>
    <row r="6" spans="1:7" ht="32" customHeight="1" x14ac:dyDescent="0.2">
      <c r="A6" s="22">
        <v>2</v>
      </c>
      <c r="B6" s="26" t="s">
        <v>109</v>
      </c>
      <c r="C6" s="27" t="s">
        <v>177</v>
      </c>
      <c r="D6" s="28" t="s">
        <v>178</v>
      </c>
      <c r="E6" s="27"/>
      <c r="F6" s="24"/>
      <c r="G6" s="44"/>
    </row>
    <row r="7" spans="1:7" ht="32" customHeight="1" x14ac:dyDescent="0.2">
      <c r="A7" s="22">
        <v>3</v>
      </c>
      <c r="B7" s="23" t="s">
        <v>109</v>
      </c>
      <c r="C7" s="24" t="s">
        <v>179</v>
      </c>
      <c r="D7" s="25" t="s">
        <v>180</v>
      </c>
      <c r="E7" s="24"/>
      <c r="F7" s="27"/>
      <c r="G7" s="43"/>
    </row>
    <row r="8" spans="1:7" ht="32" customHeight="1" x14ac:dyDescent="0.2">
      <c r="A8" s="22">
        <v>4</v>
      </c>
      <c r="B8" s="26" t="s">
        <v>109</v>
      </c>
      <c r="C8" s="27" t="s">
        <v>181</v>
      </c>
      <c r="D8" s="28" t="s">
        <v>182</v>
      </c>
      <c r="E8" s="27"/>
      <c r="F8" s="24"/>
      <c r="G8" s="44"/>
    </row>
    <row r="9" spans="1:7" ht="32" customHeight="1" x14ac:dyDescent="0.2">
      <c r="A9" s="22">
        <v>5</v>
      </c>
      <c r="B9" s="23" t="s">
        <v>109</v>
      </c>
      <c r="C9" s="24" t="s">
        <v>183</v>
      </c>
      <c r="D9" s="25" t="s">
        <v>184</v>
      </c>
      <c r="E9" s="24"/>
      <c r="F9" s="27"/>
      <c r="G9" s="43"/>
    </row>
    <row r="10" spans="1:7" ht="32" customHeight="1" x14ac:dyDescent="0.2">
      <c r="A10" s="22">
        <v>6</v>
      </c>
      <c r="B10" s="26" t="s">
        <v>109</v>
      </c>
      <c r="C10" s="27" t="s">
        <v>185</v>
      </c>
      <c r="D10" s="28" t="s">
        <v>186</v>
      </c>
      <c r="E10" s="27"/>
      <c r="F10" s="24"/>
      <c r="G10" s="44"/>
    </row>
    <row r="11" spans="1:7" ht="32" customHeight="1" x14ac:dyDescent="0.2">
      <c r="A11" s="22">
        <v>7</v>
      </c>
      <c r="B11" s="23" t="s">
        <v>109</v>
      </c>
      <c r="C11" s="24" t="s">
        <v>187</v>
      </c>
      <c r="D11" s="25" t="s">
        <v>188</v>
      </c>
      <c r="E11" s="24"/>
      <c r="F11" s="27"/>
      <c r="G11" s="43"/>
    </row>
    <row r="12" spans="1:7" ht="32" customHeight="1" x14ac:dyDescent="0.2">
      <c r="A12" s="22">
        <v>8</v>
      </c>
      <c r="B12" s="26" t="s">
        <v>109</v>
      </c>
      <c r="C12" s="27" t="s">
        <v>189</v>
      </c>
      <c r="D12" s="28" t="s">
        <v>190</v>
      </c>
      <c r="E12" s="27"/>
      <c r="F12" s="24"/>
      <c r="G12" s="44"/>
    </row>
    <row r="13" spans="1:7" ht="32" customHeight="1" x14ac:dyDescent="0.2">
      <c r="A13" s="22">
        <v>9</v>
      </c>
      <c r="B13" s="23" t="s">
        <v>109</v>
      </c>
      <c r="C13" s="24" t="s">
        <v>191</v>
      </c>
      <c r="D13" s="25" t="s">
        <v>192</v>
      </c>
      <c r="E13" s="24"/>
      <c r="F13" s="27"/>
      <c r="G13" s="43"/>
    </row>
    <row r="14" spans="1:7" ht="32" customHeight="1" x14ac:dyDescent="0.2">
      <c r="A14" s="22">
        <v>10</v>
      </c>
      <c r="B14" s="26" t="s">
        <v>109</v>
      </c>
      <c r="C14" s="27" t="s">
        <v>193</v>
      </c>
      <c r="D14" s="28" t="s">
        <v>194</v>
      </c>
      <c r="E14" s="27"/>
      <c r="F14" s="24"/>
      <c r="G14" s="44"/>
    </row>
    <row r="15" spans="1:7" ht="18" customHeight="1" x14ac:dyDescent="0.2">
      <c r="A15" s="158" t="s">
        <v>58</v>
      </c>
      <c r="B15" s="80"/>
      <c r="C15" s="80"/>
      <c r="D15" s="80"/>
      <c r="E15" s="81"/>
      <c r="F15" s="46"/>
      <c r="G15" s="46"/>
    </row>
    <row r="16" spans="1:7" ht="32" customHeight="1" x14ac:dyDescent="0.2">
      <c r="A16" s="22">
        <v>11</v>
      </c>
      <c r="B16" s="23" t="s">
        <v>109</v>
      </c>
      <c r="C16" s="24" t="s">
        <v>195</v>
      </c>
      <c r="D16" s="25" t="s">
        <v>196</v>
      </c>
      <c r="E16" s="24"/>
      <c r="F16" s="27"/>
      <c r="G16" s="43"/>
    </row>
    <row r="17" spans="1:7" ht="32" customHeight="1" x14ac:dyDescent="0.2">
      <c r="A17" s="22">
        <v>12</v>
      </c>
      <c r="B17" s="26" t="s">
        <v>109</v>
      </c>
      <c r="C17" s="27" t="s">
        <v>197</v>
      </c>
      <c r="D17" s="28" t="s">
        <v>198</v>
      </c>
      <c r="E17" s="27"/>
      <c r="F17" s="24"/>
      <c r="G17" s="44"/>
    </row>
    <row r="18" spans="1:7" ht="32" customHeight="1" x14ac:dyDescent="0.2">
      <c r="A18" s="22">
        <v>13</v>
      </c>
      <c r="B18" s="23" t="s">
        <v>109</v>
      </c>
      <c r="C18" s="24" t="s">
        <v>199</v>
      </c>
      <c r="D18" s="25" t="s">
        <v>200</v>
      </c>
      <c r="E18" s="24"/>
      <c r="F18" s="27"/>
      <c r="G18" s="43"/>
    </row>
    <row r="19" spans="1:7" ht="18" customHeight="1" x14ac:dyDescent="0.2">
      <c r="A19" s="158" t="s">
        <v>59</v>
      </c>
      <c r="B19" s="80"/>
      <c r="C19" s="80"/>
      <c r="D19" s="80"/>
      <c r="E19" s="81"/>
      <c r="F19" s="46"/>
      <c r="G19" s="46"/>
    </row>
    <row r="20" spans="1:7" ht="32" customHeight="1" x14ac:dyDescent="0.2">
      <c r="A20" s="22">
        <v>14</v>
      </c>
      <c r="B20" s="23" t="s">
        <v>109</v>
      </c>
      <c r="C20" s="24" t="s">
        <v>201</v>
      </c>
      <c r="D20" s="25" t="s">
        <v>202</v>
      </c>
      <c r="E20" s="24"/>
      <c r="F20" s="24"/>
      <c r="G20" s="44"/>
    </row>
    <row r="21" spans="1:7" ht="32" customHeight="1" x14ac:dyDescent="0.2">
      <c r="A21" s="22">
        <v>15</v>
      </c>
      <c r="B21" s="26" t="s">
        <v>109</v>
      </c>
      <c r="C21" s="27" t="s">
        <v>203</v>
      </c>
      <c r="D21" s="28" t="s">
        <v>204</v>
      </c>
      <c r="E21" s="27"/>
      <c r="F21" s="27"/>
      <c r="G21" s="43"/>
    </row>
    <row r="22" spans="1:7" ht="32" customHeight="1" x14ac:dyDescent="0.2">
      <c r="A22" s="22">
        <v>16</v>
      </c>
      <c r="B22" s="23" t="s">
        <v>109</v>
      </c>
      <c r="C22" s="24" t="s">
        <v>199</v>
      </c>
      <c r="D22" s="25" t="s">
        <v>205</v>
      </c>
      <c r="E22" s="24"/>
      <c r="F22" s="24"/>
      <c r="G22" s="44"/>
    </row>
  </sheetData>
  <mergeCells count="5">
    <mergeCell ref="A4:E4"/>
    <mergeCell ref="A2:E2"/>
    <mergeCell ref="A15:E15"/>
    <mergeCell ref="A19:E19"/>
    <mergeCell ref="A1:E1"/>
  </mergeCells>
  <conditionalFormatting sqref="A5:E23">
    <cfRule type="expression" dxfId="31" priority="1">
      <formula>$B5="Cumplido"</formula>
    </cfRule>
    <cfRule type="expression" dxfId="30" priority="2">
      <formula>$B5="En riesgo"</formula>
    </cfRule>
    <cfRule type="expression" dxfId="29" priority="3">
      <formula>$B5="N/A"</formula>
    </cfRule>
  </conditionalFormatting>
  <conditionalFormatting sqref="E5:E23">
    <cfRule type="expression" dxfId="28" priority="4">
      <formula>$E5="Adjunto"</formula>
    </cfRule>
    <cfRule type="expression" dxfId="27" priority="5">
      <formula>$E5="Sin documento"</formula>
    </cfRule>
    <cfRule type="expression" dxfId="26" priority="6">
      <formula>$E5="No aplica"</formula>
    </cfRule>
  </conditionalFormatting>
  <conditionalFormatting sqref="G4:G22">
    <cfRule type="expression" dxfId="25" priority="7">
      <formula>NOT(ISBLANK(G4))</formula>
    </cfRule>
  </conditionalFormatting>
  <dataValidations count="4">
    <dataValidation type="list" sqref="B5:B23" xr:uid="{00000000-0002-0000-0400-000000000000}">
      <formula1>"Pendiente,Cumplido,En riesgo,N/A"</formula1>
    </dataValidation>
    <dataValidation type="list" allowBlank="1" sqref="E5:E23" xr:uid="{00000000-0002-0000-0400-000001000000}">
      <formula1>"Sin documento,Adjunto,No aplica"</formula1>
    </dataValidation>
    <dataValidation type="list" allowBlank="1" sqref="F4:F22" xr:uid="{00000000-0002-0000-0400-000002000000}">
      <formula1>"Cliente,Asesor Russell Bedford,AGACE,Otro"</formula1>
    </dataValidation>
    <dataValidation type="date" operator="greaterThan" allowBlank="1" showErrorMessage="1" errorTitle="Fecha inválida" error="Ingrese una fecha válida en formato DD/MM/AAAA" sqref="G4:G22" xr:uid="{00000000-0002-0000-0400-000003000000}">
      <formula1>DATE(2020,1,1)</formula1>
    </dataValidation>
  </dataValidations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74"/>
  <sheetViews>
    <sheetView showGridLines="0" zoomScale="150" workbookViewId="0">
      <pane ySplit="4" topLeftCell="A8" activePane="bottomLeft" state="frozen"/>
      <selection pane="bottomLeft" activeCell="B55" sqref="B55"/>
    </sheetView>
  </sheetViews>
  <sheetFormatPr baseColWidth="10" defaultColWidth="8.83203125" defaultRowHeight="15" x14ac:dyDescent="0.2"/>
  <cols>
    <col min="1" max="1" width="5" customWidth="1"/>
    <col min="2" max="2" width="22" customWidth="1"/>
    <col min="3" max="3" width="58" customWidth="1"/>
    <col min="4" max="4" width="22" customWidth="1"/>
    <col min="5" max="5" width="36" customWidth="1"/>
    <col min="6" max="6" width="22" customWidth="1"/>
    <col min="7" max="7" width="16" customWidth="1"/>
  </cols>
  <sheetData>
    <row r="1" spans="1:7" ht="48" customHeight="1" x14ac:dyDescent="0.2">
      <c r="A1" s="160" t="s">
        <v>327</v>
      </c>
      <c r="B1" s="80"/>
      <c r="C1" s="80"/>
      <c r="D1" s="80"/>
      <c r="E1" s="81"/>
      <c r="F1" s="45"/>
      <c r="G1" s="45"/>
    </row>
    <row r="2" spans="1:7" ht="14" customHeight="1" x14ac:dyDescent="0.2">
      <c r="A2" s="159" t="s">
        <v>125</v>
      </c>
      <c r="B2" s="86"/>
      <c r="C2" s="86"/>
      <c r="D2" s="86"/>
      <c r="E2" s="86"/>
      <c r="F2" s="41"/>
      <c r="G2" s="41"/>
    </row>
    <row r="3" spans="1:7" ht="22" customHeight="1" x14ac:dyDescent="0.2">
      <c r="A3" s="14" t="s">
        <v>20</v>
      </c>
      <c r="B3" s="14" t="s">
        <v>25</v>
      </c>
      <c r="C3" s="14" t="s">
        <v>126</v>
      </c>
      <c r="D3" s="14" t="s">
        <v>127</v>
      </c>
      <c r="E3" s="14" t="s">
        <v>128</v>
      </c>
      <c r="F3" s="15" t="s">
        <v>22</v>
      </c>
      <c r="G3" s="15" t="s">
        <v>129</v>
      </c>
    </row>
    <row r="4" spans="1:7" ht="18" customHeight="1" x14ac:dyDescent="0.2">
      <c r="A4" s="158" t="s">
        <v>62</v>
      </c>
      <c r="B4" s="80"/>
      <c r="C4" s="80"/>
      <c r="D4" s="80"/>
      <c r="E4" s="81"/>
      <c r="F4" s="46"/>
      <c r="G4" s="46"/>
    </row>
    <row r="5" spans="1:7" ht="32" customHeight="1" x14ac:dyDescent="0.2">
      <c r="A5" s="22">
        <v>1</v>
      </c>
      <c r="B5" s="23" t="s">
        <v>109</v>
      </c>
      <c r="C5" s="24" t="s">
        <v>328</v>
      </c>
      <c r="D5" s="25" t="s">
        <v>329</v>
      </c>
      <c r="E5" s="24"/>
      <c r="F5" s="27"/>
      <c r="G5" s="43"/>
    </row>
    <row r="6" spans="1:7" ht="32" customHeight="1" x14ac:dyDescent="0.2">
      <c r="A6" s="22">
        <v>2</v>
      </c>
      <c r="B6" s="26" t="s">
        <v>109</v>
      </c>
      <c r="C6" s="27" t="s">
        <v>330</v>
      </c>
      <c r="D6" s="28" t="s">
        <v>331</v>
      </c>
      <c r="E6" s="27"/>
      <c r="F6" s="24"/>
      <c r="G6" s="44"/>
    </row>
    <row r="7" spans="1:7" ht="32" customHeight="1" x14ac:dyDescent="0.2">
      <c r="A7" s="22">
        <v>3</v>
      </c>
      <c r="B7" s="23" t="s">
        <v>109</v>
      </c>
      <c r="C7" s="24" t="s">
        <v>332</v>
      </c>
      <c r="D7" s="25" t="s">
        <v>333</v>
      </c>
      <c r="E7" s="24"/>
      <c r="F7" s="27"/>
      <c r="G7" s="43"/>
    </row>
    <row r="8" spans="1:7" ht="32" customHeight="1" x14ac:dyDescent="0.2">
      <c r="A8" s="22">
        <v>4</v>
      </c>
      <c r="B8" s="26" t="s">
        <v>109</v>
      </c>
      <c r="C8" s="27" t="s">
        <v>334</v>
      </c>
      <c r="D8" s="28" t="s">
        <v>335</v>
      </c>
      <c r="E8" s="27"/>
      <c r="F8" s="24"/>
      <c r="G8" s="44"/>
    </row>
    <row r="9" spans="1:7" ht="32" customHeight="1" x14ac:dyDescent="0.2">
      <c r="A9" s="22">
        <v>5</v>
      </c>
      <c r="B9" s="23" t="s">
        <v>109</v>
      </c>
      <c r="C9" s="24" t="s">
        <v>336</v>
      </c>
      <c r="D9" s="25" t="s">
        <v>337</v>
      </c>
      <c r="E9" s="24"/>
      <c r="F9" s="27"/>
      <c r="G9" s="43"/>
    </row>
    <row r="10" spans="1:7" ht="32" customHeight="1" x14ac:dyDescent="0.2">
      <c r="A10" s="22">
        <v>6</v>
      </c>
      <c r="B10" s="26" t="s">
        <v>109</v>
      </c>
      <c r="C10" s="27" t="s">
        <v>338</v>
      </c>
      <c r="D10" s="28" t="s">
        <v>339</v>
      </c>
      <c r="E10" s="27"/>
      <c r="F10" s="24"/>
      <c r="G10" s="44"/>
    </row>
    <row r="11" spans="1:7" ht="32" customHeight="1" x14ac:dyDescent="0.2">
      <c r="A11" s="22">
        <v>7</v>
      </c>
      <c r="B11" s="23" t="s">
        <v>109</v>
      </c>
      <c r="C11" s="24" t="s">
        <v>340</v>
      </c>
      <c r="D11" s="25" t="s">
        <v>341</v>
      </c>
      <c r="E11" s="24"/>
      <c r="F11" s="27"/>
      <c r="G11" s="43"/>
    </row>
    <row r="12" spans="1:7" ht="32" customHeight="1" x14ac:dyDescent="0.2">
      <c r="A12" s="22">
        <v>8</v>
      </c>
      <c r="B12" s="26" t="s">
        <v>109</v>
      </c>
      <c r="C12" s="27" t="s">
        <v>342</v>
      </c>
      <c r="D12" s="28" t="s">
        <v>343</v>
      </c>
      <c r="E12" s="27"/>
      <c r="F12" s="24"/>
      <c r="G12" s="44"/>
    </row>
    <row r="13" spans="1:7" ht="18" customHeight="1" x14ac:dyDescent="0.2">
      <c r="A13" s="158" t="s">
        <v>63</v>
      </c>
      <c r="B13" s="80"/>
      <c r="C13" s="80"/>
      <c r="D13" s="80"/>
      <c r="E13" s="81"/>
      <c r="F13" s="46"/>
      <c r="G13" s="46"/>
    </row>
    <row r="14" spans="1:7" ht="32" customHeight="1" x14ac:dyDescent="0.2">
      <c r="A14" s="22">
        <v>9</v>
      </c>
      <c r="B14" s="23" t="s">
        <v>109</v>
      </c>
      <c r="C14" s="24" t="s">
        <v>344</v>
      </c>
      <c r="D14" s="25" t="s">
        <v>345</v>
      </c>
      <c r="E14" s="24"/>
      <c r="F14" s="27"/>
      <c r="G14" s="43"/>
    </row>
    <row r="15" spans="1:7" ht="32" customHeight="1" x14ac:dyDescent="0.2">
      <c r="A15" s="22">
        <v>10</v>
      </c>
      <c r="B15" s="26" t="s">
        <v>109</v>
      </c>
      <c r="C15" s="27" t="s">
        <v>346</v>
      </c>
      <c r="D15" s="28" t="s">
        <v>347</v>
      </c>
      <c r="E15" s="27"/>
      <c r="F15" s="24"/>
      <c r="G15" s="44"/>
    </row>
    <row r="16" spans="1:7" ht="32" customHeight="1" x14ac:dyDescent="0.2">
      <c r="A16" s="22">
        <v>11</v>
      </c>
      <c r="B16" s="23" t="s">
        <v>109</v>
      </c>
      <c r="C16" s="24" t="s">
        <v>348</v>
      </c>
      <c r="D16" s="25" t="s">
        <v>349</v>
      </c>
      <c r="E16" s="24"/>
      <c r="F16" s="27"/>
      <c r="G16" s="43"/>
    </row>
    <row r="17" spans="1:7" ht="32" customHeight="1" x14ac:dyDescent="0.2">
      <c r="A17" s="22">
        <v>12</v>
      </c>
      <c r="B17" s="26" t="s">
        <v>109</v>
      </c>
      <c r="C17" s="27" t="s">
        <v>350</v>
      </c>
      <c r="D17" s="28" t="s">
        <v>351</v>
      </c>
      <c r="E17" s="27"/>
      <c r="F17" s="24"/>
      <c r="G17" s="44"/>
    </row>
    <row r="18" spans="1:7" ht="32" customHeight="1" x14ac:dyDescent="0.2">
      <c r="A18" s="22">
        <v>13</v>
      </c>
      <c r="B18" s="23" t="s">
        <v>109</v>
      </c>
      <c r="C18" s="24" t="s">
        <v>352</v>
      </c>
      <c r="D18" s="25" t="s">
        <v>353</v>
      </c>
      <c r="E18" s="24"/>
      <c r="F18" s="27"/>
      <c r="G18" s="43"/>
    </row>
    <row r="19" spans="1:7" ht="32" customHeight="1" x14ac:dyDescent="0.2">
      <c r="A19" s="22">
        <v>14</v>
      </c>
      <c r="B19" s="26" t="s">
        <v>109</v>
      </c>
      <c r="C19" s="27" t="s">
        <v>354</v>
      </c>
      <c r="D19" s="28" t="s">
        <v>355</v>
      </c>
      <c r="E19" s="27"/>
      <c r="F19" s="24"/>
      <c r="G19" s="44"/>
    </row>
    <row r="20" spans="1:7" ht="32" customHeight="1" x14ac:dyDescent="0.2">
      <c r="A20" s="22">
        <v>15</v>
      </c>
      <c r="B20" s="23" t="s">
        <v>109</v>
      </c>
      <c r="C20" s="24" t="s">
        <v>356</v>
      </c>
      <c r="D20" s="25" t="s">
        <v>357</v>
      </c>
      <c r="E20" s="24"/>
      <c r="F20" s="27"/>
      <c r="G20" s="43"/>
    </row>
    <row r="21" spans="1:7" ht="32" customHeight="1" x14ac:dyDescent="0.2">
      <c r="A21" s="22">
        <v>16</v>
      </c>
      <c r="B21" s="26" t="s">
        <v>109</v>
      </c>
      <c r="C21" s="27" t="s">
        <v>358</v>
      </c>
      <c r="D21" s="28" t="s">
        <v>359</v>
      </c>
      <c r="E21" s="27"/>
      <c r="F21" s="24"/>
      <c r="G21" s="44"/>
    </row>
    <row r="22" spans="1:7" ht="32" customHeight="1" x14ac:dyDescent="0.2">
      <c r="A22" s="22">
        <v>17</v>
      </c>
      <c r="B22" s="23" t="s">
        <v>109</v>
      </c>
      <c r="C22" s="24" t="s">
        <v>360</v>
      </c>
      <c r="D22" s="25" t="s">
        <v>361</v>
      </c>
      <c r="E22" s="24"/>
      <c r="F22" s="27"/>
      <c r="G22" s="43"/>
    </row>
    <row r="23" spans="1:7" ht="32" customHeight="1" x14ac:dyDescent="0.2">
      <c r="A23" s="22">
        <v>18</v>
      </c>
      <c r="B23" s="26" t="s">
        <v>109</v>
      </c>
      <c r="C23" s="27" t="s">
        <v>362</v>
      </c>
      <c r="D23" s="28" t="s">
        <v>363</v>
      </c>
      <c r="E23" s="27"/>
      <c r="F23" s="24"/>
      <c r="G23" s="44"/>
    </row>
    <row r="24" spans="1:7" ht="32" customHeight="1" x14ac:dyDescent="0.2">
      <c r="A24" s="22">
        <v>19</v>
      </c>
      <c r="B24" s="23" t="s">
        <v>109</v>
      </c>
      <c r="C24" s="24" t="s">
        <v>364</v>
      </c>
      <c r="D24" s="25" t="s">
        <v>365</v>
      </c>
      <c r="E24" s="24"/>
      <c r="F24" s="27"/>
      <c r="G24" s="43"/>
    </row>
    <row r="25" spans="1:7" ht="32" customHeight="1" x14ac:dyDescent="0.2">
      <c r="A25" s="22">
        <v>20</v>
      </c>
      <c r="B25" s="26" t="s">
        <v>109</v>
      </c>
      <c r="C25" s="27" t="s">
        <v>366</v>
      </c>
      <c r="D25" s="28" t="s">
        <v>367</v>
      </c>
      <c r="E25" s="27"/>
      <c r="F25" s="24"/>
      <c r="G25" s="44"/>
    </row>
    <row r="26" spans="1:7" ht="32" customHeight="1" x14ac:dyDescent="0.2">
      <c r="A26" s="22">
        <v>21</v>
      </c>
      <c r="B26" s="23" t="s">
        <v>109</v>
      </c>
      <c r="C26" s="24" t="s">
        <v>368</v>
      </c>
      <c r="D26" s="25" t="s">
        <v>369</v>
      </c>
      <c r="E26" s="24"/>
      <c r="F26" s="27"/>
      <c r="G26" s="43"/>
    </row>
    <row r="27" spans="1:7" ht="32" customHeight="1" x14ac:dyDescent="0.2">
      <c r="A27" s="22">
        <v>22</v>
      </c>
      <c r="B27" s="26" t="s">
        <v>109</v>
      </c>
      <c r="C27" s="27" t="s">
        <v>370</v>
      </c>
      <c r="D27" s="28" t="s">
        <v>371</v>
      </c>
      <c r="E27" s="27"/>
      <c r="F27" s="24"/>
      <c r="G27" s="44"/>
    </row>
    <row r="28" spans="1:7" ht="32" customHeight="1" x14ac:dyDescent="0.2">
      <c r="A28" s="22">
        <v>23</v>
      </c>
      <c r="B28" s="23" t="s">
        <v>109</v>
      </c>
      <c r="C28" s="24" t="s">
        <v>372</v>
      </c>
      <c r="D28" s="25" t="s">
        <v>373</v>
      </c>
      <c r="E28" s="24"/>
      <c r="F28" s="27"/>
      <c r="G28" s="43"/>
    </row>
    <row r="29" spans="1:7" ht="18" customHeight="1" x14ac:dyDescent="0.2">
      <c r="A29" s="158" t="s">
        <v>64</v>
      </c>
      <c r="B29" s="80"/>
      <c r="C29" s="80"/>
      <c r="D29" s="80"/>
      <c r="E29" s="81"/>
      <c r="F29" s="46"/>
      <c r="G29" s="46"/>
    </row>
    <row r="30" spans="1:7" ht="32" customHeight="1" x14ac:dyDescent="0.2">
      <c r="A30" s="22">
        <v>24</v>
      </c>
      <c r="B30" s="23" t="s">
        <v>109</v>
      </c>
      <c r="C30" s="24" t="s">
        <v>374</v>
      </c>
      <c r="D30" s="25" t="s">
        <v>375</v>
      </c>
      <c r="E30" s="24"/>
      <c r="F30" s="24"/>
      <c r="G30" s="44"/>
    </row>
    <row r="31" spans="1:7" ht="32" customHeight="1" x14ac:dyDescent="0.2">
      <c r="A31" s="22">
        <v>25</v>
      </c>
      <c r="B31" s="26" t="s">
        <v>109</v>
      </c>
      <c r="C31" s="27" t="s">
        <v>376</v>
      </c>
      <c r="D31" s="28" t="s">
        <v>377</v>
      </c>
      <c r="E31" s="27"/>
      <c r="F31" s="27"/>
      <c r="G31" s="43"/>
    </row>
    <row r="32" spans="1:7" ht="32" customHeight="1" x14ac:dyDescent="0.2">
      <c r="A32" s="22">
        <v>26</v>
      </c>
      <c r="B32" s="23" t="s">
        <v>109</v>
      </c>
      <c r="C32" s="24" t="s">
        <v>378</v>
      </c>
      <c r="D32" s="25" t="s">
        <v>379</v>
      </c>
      <c r="E32" s="24"/>
      <c r="F32" s="24"/>
      <c r="G32" s="44"/>
    </row>
    <row r="33" spans="1:7" ht="32" customHeight="1" x14ac:dyDescent="0.2">
      <c r="A33" s="22">
        <v>27</v>
      </c>
      <c r="B33" s="26" t="s">
        <v>109</v>
      </c>
      <c r="C33" s="27" t="s">
        <v>380</v>
      </c>
      <c r="D33" s="28" t="s">
        <v>381</v>
      </c>
      <c r="E33" s="27"/>
      <c r="F33" s="27"/>
      <c r="G33" s="43"/>
    </row>
    <row r="34" spans="1:7" ht="32" customHeight="1" x14ac:dyDescent="0.2">
      <c r="A34" s="22">
        <v>28</v>
      </c>
      <c r="B34" s="23" t="s">
        <v>109</v>
      </c>
      <c r="C34" s="24" t="s">
        <v>382</v>
      </c>
      <c r="D34" s="25" t="s">
        <v>383</v>
      </c>
      <c r="E34" s="24"/>
      <c r="F34" s="24"/>
      <c r="G34" s="44"/>
    </row>
    <row r="35" spans="1:7" ht="32" customHeight="1" x14ac:dyDescent="0.2">
      <c r="A35" s="22">
        <v>29</v>
      </c>
      <c r="B35" s="26" t="s">
        <v>109</v>
      </c>
      <c r="C35" s="27" t="s">
        <v>384</v>
      </c>
      <c r="D35" s="28" t="s">
        <v>385</v>
      </c>
      <c r="E35" s="27"/>
      <c r="F35" s="27"/>
      <c r="G35" s="43"/>
    </row>
    <row r="36" spans="1:7" ht="18" customHeight="1" x14ac:dyDescent="0.2">
      <c r="A36" s="158" t="s">
        <v>65</v>
      </c>
      <c r="B36" s="80"/>
      <c r="C36" s="80"/>
      <c r="D36" s="80"/>
      <c r="E36" s="81"/>
      <c r="F36" s="46"/>
      <c r="G36" s="46"/>
    </row>
    <row r="37" spans="1:7" ht="32" customHeight="1" x14ac:dyDescent="0.2">
      <c r="A37" s="22">
        <v>30</v>
      </c>
      <c r="B37" s="23" t="s">
        <v>101</v>
      </c>
      <c r="C37" s="24" t="s">
        <v>386</v>
      </c>
      <c r="D37" s="25" t="s">
        <v>387</v>
      </c>
      <c r="E37" s="24"/>
      <c r="F37" s="24"/>
      <c r="G37" s="44"/>
    </row>
    <row r="38" spans="1:7" ht="32" customHeight="1" x14ac:dyDescent="0.2">
      <c r="A38" s="22">
        <v>31</v>
      </c>
      <c r="B38" s="26" t="s">
        <v>101</v>
      </c>
      <c r="C38" s="27" t="s">
        <v>388</v>
      </c>
      <c r="D38" s="28" t="s">
        <v>389</v>
      </c>
      <c r="E38" s="27"/>
      <c r="F38" s="27"/>
      <c r="G38" s="43"/>
    </row>
    <row r="39" spans="1:7" ht="18" customHeight="1" x14ac:dyDescent="0.2">
      <c r="A39" s="158" t="s">
        <v>66</v>
      </c>
      <c r="B39" s="80"/>
      <c r="C39" s="80"/>
      <c r="D39" s="80"/>
      <c r="E39" s="81"/>
      <c r="F39" s="46"/>
      <c r="G39" s="46"/>
    </row>
    <row r="40" spans="1:7" ht="32" customHeight="1" x14ac:dyDescent="0.2">
      <c r="A40" s="22">
        <v>32</v>
      </c>
      <c r="B40" s="23" t="s">
        <v>101</v>
      </c>
      <c r="C40" s="24" t="s">
        <v>390</v>
      </c>
      <c r="D40" s="25" t="s">
        <v>391</v>
      </c>
      <c r="E40" s="24"/>
      <c r="F40" s="24"/>
      <c r="G40" s="44"/>
    </row>
    <row r="41" spans="1:7" ht="18" customHeight="1" x14ac:dyDescent="0.2">
      <c r="A41" s="158" t="s">
        <v>67</v>
      </c>
      <c r="B41" s="80"/>
      <c r="C41" s="80"/>
      <c r="D41" s="80"/>
      <c r="E41" s="81"/>
      <c r="F41" s="46"/>
      <c r="G41" s="46"/>
    </row>
    <row r="42" spans="1:7" ht="32" customHeight="1" x14ac:dyDescent="0.2">
      <c r="A42" s="22">
        <v>33</v>
      </c>
      <c r="B42" s="23" t="s">
        <v>101</v>
      </c>
      <c r="C42" s="24" t="s">
        <v>392</v>
      </c>
      <c r="D42" s="25" t="s">
        <v>393</v>
      </c>
      <c r="E42" s="24"/>
      <c r="F42" s="27"/>
      <c r="G42" s="43"/>
    </row>
    <row r="43" spans="1:7" ht="32" customHeight="1" x14ac:dyDescent="0.2">
      <c r="A43" s="22">
        <v>34</v>
      </c>
      <c r="B43" s="26" t="s">
        <v>101</v>
      </c>
      <c r="C43" s="27" t="s">
        <v>394</v>
      </c>
      <c r="D43" s="28" t="s">
        <v>395</v>
      </c>
      <c r="E43" s="27"/>
      <c r="F43" s="24"/>
      <c r="G43" s="44"/>
    </row>
    <row r="44" spans="1:7" ht="18" customHeight="1" x14ac:dyDescent="0.2">
      <c r="A44" s="158" t="s">
        <v>68</v>
      </c>
      <c r="B44" s="80"/>
      <c r="C44" s="80"/>
      <c r="D44" s="80"/>
      <c r="E44" s="81"/>
      <c r="F44" s="46"/>
      <c r="G44" s="46"/>
    </row>
    <row r="45" spans="1:7" ht="32" customHeight="1" x14ac:dyDescent="0.2">
      <c r="A45" s="22">
        <v>35</v>
      </c>
      <c r="B45" s="23" t="s">
        <v>101</v>
      </c>
      <c r="C45" s="24" t="s">
        <v>396</v>
      </c>
      <c r="D45" s="25" t="s">
        <v>397</v>
      </c>
      <c r="E45" s="24"/>
      <c r="F45" s="27"/>
      <c r="G45" s="43"/>
    </row>
    <row r="46" spans="1:7" ht="32" customHeight="1" x14ac:dyDescent="0.2">
      <c r="A46" s="22">
        <v>36</v>
      </c>
      <c r="B46" s="26" t="s">
        <v>101</v>
      </c>
      <c r="C46" s="27" t="s">
        <v>398</v>
      </c>
      <c r="D46" s="28" t="s">
        <v>399</v>
      </c>
      <c r="E46" s="27"/>
      <c r="F46" s="24"/>
      <c r="G46" s="44"/>
    </row>
    <row r="47" spans="1:7" ht="32" customHeight="1" x14ac:dyDescent="0.2">
      <c r="A47" s="22">
        <v>37</v>
      </c>
      <c r="B47" s="23" t="s">
        <v>101</v>
      </c>
      <c r="C47" s="24" t="s">
        <v>400</v>
      </c>
      <c r="D47" s="25" t="s">
        <v>401</v>
      </c>
      <c r="E47" s="24"/>
      <c r="F47" s="27"/>
      <c r="G47" s="43"/>
    </row>
    <row r="48" spans="1:7" ht="32" customHeight="1" x14ac:dyDescent="0.2">
      <c r="A48" s="22">
        <v>38</v>
      </c>
      <c r="B48" s="26" t="s">
        <v>101</v>
      </c>
      <c r="C48" s="27" t="s">
        <v>402</v>
      </c>
      <c r="D48" s="28" t="s">
        <v>403</v>
      </c>
      <c r="E48" s="27"/>
      <c r="F48" s="24"/>
      <c r="G48" s="44"/>
    </row>
    <row r="49" spans="1:7" ht="32" customHeight="1" x14ac:dyDescent="0.2">
      <c r="A49" s="22">
        <v>39</v>
      </c>
      <c r="B49" s="23" t="s">
        <v>101</v>
      </c>
      <c r="C49" s="24" t="s">
        <v>404</v>
      </c>
      <c r="D49" s="25" t="s">
        <v>405</v>
      </c>
      <c r="E49" s="24"/>
      <c r="F49" s="27"/>
      <c r="G49" s="43"/>
    </row>
    <row r="50" spans="1:7" ht="30" x14ac:dyDescent="0.2">
      <c r="A50" s="22">
        <v>40</v>
      </c>
      <c r="B50" s="26" t="s">
        <v>101</v>
      </c>
      <c r="C50" s="27" t="s">
        <v>406</v>
      </c>
      <c r="D50" s="28" t="s">
        <v>407</v>
      </c>
      <c r="E50" s="27"/>
      <c r="F50" s="24"/>
      <c r="G50" s="44"/>
    </row>
    <row r="51" spans="1:7" ht="47" customHeight="1" x14ac:dyDescent="0.2">
      <c r="A51" s="22">
        <v>41</v>
      </c>
      <c r="B51" s="23" t="s">
        <v>101</v>
      </c>
      <c r="C51" s="24" t="s">
        <v>408</v>
      </c>
      <c r="D51" s="25" t="s">
        <v>409</v>
      </c>
      <c r="E51" s="24"/>
      <c r="F51" s="27"/>
      <c r="G51" s="43"/>
    </row>
    <row r="52" spans="1:7" ht="32" customHeight="1" x14ac:dyDescent="0.2">
      <c r="A52" s="22">
        <v>42</v>
      </c>
      <c r="B52" s="26" t="s">
        <v>101</v>
      </c>
      <c r="C52" s="27" t="s">
        <v>410</v>
      </c>
      <c r="D52" s="28" t="s">
        <v>411</v>
      </c>
      <c r="E52" s="27"/>
      <c r="F52" s="24"/>
      <c r="G52" s="44"/>
    </row>
    <row r="53" spans="1:7" ht="32" customHeight="1" x14ac:dyDescent="0.2">
      <c r="A53" s="22">
        <v>43</v>
      </c>
      <c r="B53" s="23" t="s">
        <v>101</v>
      </c>
      <c r="C53" s="24" t="s">
        <v>412</v>
      </c>
      <c r="D53" s="25" t="s">
        <v>413</v>
      </c>
      <c r="E53" s="24"/>
      <c r="F53" s="27"/>
      <c r="G53" s="43"/>
    </row>
    <row r="54" spans="1:7" ht="32" customHeight="1" x14ac:dyDescent="0.2">
      <c r="A54" s="22">
        <v>44</v>
      </c>
      <c r="B54" s="26" t="s">
        <v>101</v>
      </c>
      <c r="C54" s="27" t="s">
        <v>414</v>
      </c>
      <c r="D54" s="28" t="s">
        <v>415</v>
      </c>
      <c r="E54" s="27"/>
      <c r="F54" s="24"/>
      <c r="G54" s="44"/>
    </row>
    <row r="55" spans="1:7" ht="32" customHeight="1" x14ac:dyDescent="0.2">
      <c r="A55" s="22">
        <v>45</v>
      </c>
      <c r="B55" s="23" t="s">
        <v>101</v>
      </c>
      <c r="C55" s="24" t="s">
        <v>416</v>
      </c>
      <c r="D55" s="25" t="s">
        <v>417</v>
      </c>
      <c r="E55" s="24"/>
      <c r="F55" s="27"/>
      <c r="G55" s="43"/>
    </row>
    <row r="56" spans="1:7" ht="18" customHeight="1" x14ac:dyDescent="0.2">
      <c r="A56" s="158" t="s">
        <v>69</v>
      </c>
      <c r="B56" s="80"/>
      <c r="C56" s="80"/>
      <c r="D56" s="80"/>
      <c r="E56" s="81"/>
      <c r="F56" s="46"/>
      <c r="G56" s="46"/>
    </row>
    <row r="57" spans="1:7" ht="32" customHeight="1" x14ac:dyDescent="0.2">
      <c r="A57" s="22">
        <v>46</v>
      </c>
      <c r="B57" s="23" t="s">
        <v>109</v>
      </c>
      <c r="C57" s="24" t="s">
        <v>418</v>
      </c>
      <c r="D57" s="25" t="s">
        <v>419</v>
      </c>
      <c r="E57" s="24"/>
      <c r="F57" s="24"/>
      <c r="G57" s="44"/>
    </row>
    <row r="58" spans="1:7" ht="32" customHeight="1" x14ac:dyDescent="0.2">
      <c r="A58" s="22">
        <v>47</v>
      </c>
      <c r="B58" s="26" t="s">
        <v>109</v>
      </c>
      <c r="C58" s="27" t="s">
        <v>420</v>
      </c>
      <c r="D58" s="28" t="s">
        <v>421</v>
      </c>
      <c r="E58" s="27"/>
      <c r="F58" s="27"/>
      <c r="G58" s="43"/>
    </row>
    <row r="59" spans="1:7" ht="32" customHeight="1" x14ac:dyDescent="0.2">
      <c r="A59" s="22">
        <v>48</v>
      </c>
      <c r="B59" s="23" t="s">
        <v>109</v>
      </c>
      <c r="C59" s="24" t="s">
        <v>422</v>
      </c>
      <c r="D59" s="25" t="s">
        <v>423</v>
      </c>
      <c r="E59" s="24"/>
      <c r="F59" s="24"/>
      <c r="G59" s="44"/>
    </row>
    <row r="60" spans="1:7" ht="32" customHeight="1" x14ac:dyDescent="0.2">
      <c r="A60" s="22">
        <v>49</v>
      </c>
      <c r="B60" s="26" t="s">
        <v>109</v>
      </c>
      <c r="C60" s="27" t="s">
        <v>136</v>
      </c>
      <c r="D60" s="28" t="s">
        <v>424</v>
      </c>
      <c r="E60" s="27"/>
      <c r="F60" s="27"/>
      <c r="G60" s="43"/>
    </row>
    <row r="61" spans="1:7" ht="32" customHeight="1" x14ac:dyDescent="0.2">
      <c r="A61" s="22">
        <v>50</v>
      </c>
      <c r="B61" s="23" t="s">
        <v>109</v>
      </c>
      <c r="C61" s="24" t="s">
        <v>134</v>
      </c>
      <c r="D61" s="25" t="s">
        <v>425</v>
      </c>
      <c r="E61" s="24"/>
      <c r="F61" s="24"/>
      <c r="G61" s="44"/>
    </row>
    <row r="62" spans="1:7" ht="32" customHeight="1" x14ac:dyDescent="0.2">
      <c r="A62" s="22">
        <v>51</v>
      </c>
      <c r="B62" s="26" t="s">
        <v>109</v>
      </c>
      <c r="C62" s="27" t="s">
        <v>426</v>
      </c>
      <c r="D62" s="28" t="s">
        <v>427</v>
      </c>
      <c r="E62" s="27"/>
      <c r="F62" s="27"/>
      <c r="G62" s="43"/>
    </row>
    <row r="63" spans="1:7" ht="32" customHeight="1" x14ac:dyDescent="0.2">
      <c r="A63" s="22">
        <v>52</v>
      </c>
      <c r="B63" s="23" t="s">
        <v>109</v>
      </c>
      <c r="C63" s="24" t="s">
        <v>428</v>
      </c>
      <c r="D63" s="25" t="s">
        <v>429</v>
      </c>
      <c r="E63" s="24"/>
      <c r="F63" s="24"/>
      <c r="G63" s="44"/>
    </row>
    <row r="64" spans="1:7" ht="32" customHeight="1" x14ac:dyDescent="0.2">
      <c r="A64" s="22">
        <v>53</v>
      </c>
      <c r="B64" s="26" t="s">
        <v>109</v>
      </c>
      <c r="C64" s="27" t="s">
        <v>156</v>
      </c>
      <c r="D64" s="28" t="s">
        <v>430</v>
      </c>
      <c r="E64" s="27"/>
      <c r="F64" s="27"/>
      <c r="G64" s="43"/>
    </row>
    <row r="65" spans="1:7" ht="32" customHeight="1" x14ac:dyDescent="0.2">
      <c r="A65" s="22">
        <v>54</v>
      </c>
      <c r="B65" s="23" t="s">
        <v>109</v>
      </c>
      <c r="C65" s="24" t="s">
        <v>431</v>
      </c>
      <c r="D65" s="25" t="s">
        <v>432</v>
      </c>
      <c r="E65" s="24"/>
      <c r="F65" s="24"/>
      <c r="G65" s="44"/>
    </row>
    <row r="66" spans="1:7" ht="32" customHeight="1" x14ac:dyDescent="0.2">
      <c r="A66" s="22">
        <v>55</v>
      </c>
      <c r="B66" s="26" t="s">
        <v>109</v>
      </c>
      <c r="C66" s="27" t="s">
        <v>433</v>
      </c>
      <c r="D66" s="28" t="s">
        <v>434</v>
      </c>
      <c r="E66" s="27"/>
      <c r="F66" s="27"/>
      <c r="G66" s="43"/>
    </row>
    <row r="67" spans="1:7" ht="32" customHeight="1" x14ac:dyDescent="0.2">
      <c r="A67" s="22">
        <v>56</v>
      </c>
      <c r="B67" s="23" t="s">
        <v>109</v>
      </c>
      <c r="C67" s="24" t="s">
        <v>435</v>
      </c>
      <c r="D67" s="25" t="s">
        <v>436</v>
      </c>
      <c r="E67" s="24"/>
      <c r="F67" s="24"/>
      <c r="G67" s="44"/>
    </row>
    <row r="68" spans="1:7" ht="32" customHeight="1" x14ac:dyDescent="0.2">
      <c r="A68" s="22">
        <v>57</v>
      </c>
      <c r="B68" s="26" t="s">
        <v>109</v>
      </c>
      <c r="C68" s="27" t="s">
        <v>437</v>
      </c>
      <c r="D68" s="28" t="s">
        <v>438</v>
      </c>
      <c r="E68" s="27"/>
      <c r="F68" s="27"/>
      <c r="G68" s="43"/>
    </row>
    <row r="69" spans="1:7" ht="32" customHeight="1" x14ac:dyDescent="0.2">
      <c r="A69" s="22">
        <v>58</v>
      </c>
      <c r="B69" s="23" t="s">
        <v>109</v>
      </c>
      <c r="C69" s="24" t="s">
        <v>439</v>
      </c>
      <c r="D69" s="25" t="s">
        <v>440</v>
      </c>
      <c r="E69" s="24"/>
      <c r="F69" s="24"/>
      <c r="G69" s="44"/>
    </row>
    <row r="70" spans="1:7" ht="32" customHeight="1" x14ac:dyDescent="0.2">
      <c r="A70" s="22">
        <v>59</v>
      </c>
      <c r="B70" s="26" t="s">
        <v>109</v>
      </c>
      <c r="C70" s="27" t="s">
        <v>441</v>
      </c>
      <c r="D70" s="28" t="s">
        <v>442</v>
      </c>
      <c r="E70" s="27"/>
      <c r="F70" s="27"/>
      <c r="G70" s="43"/>
    </row>
    <row r="71" spans="1:7" ht="32" customHeight="1" x14ac:dyDescent="0.2">
      <c r="A71" s="22">
        <v>60</v>
      </c>
      <c r="B71" s="23" t="s">
        <v>109</v>
      </c>
      <c r="C71" s="24" t="s">
        <v>443</v>
      </c>
      <c r="D71" s="25" t="s">
        <v>444</v>
      </c>
      <c r="E71" s="24"/>
      <c r="F71" s="24"/>
      <c r="G71" s="44"/>
    </row>
    <row r="72" spans="1:7" ht="32" customHeight="1" x14ac:dyDescent="0.2">
      <c r="A72" s="22">
        <v>61</v>
      </c>
      <c r="B72" s="26" t="s">
        <v>109</v>
      </c>
      <c r="C72" s="27" t="s">
        <v>445</v>
      </c>
      <c r="D72" s="28" t="s">
        <v>446</v>
      </c>
      <c r="E72" s="27"/>
      <c r="F72" s="27"/>
      <c r="G72" s="43"/>
    </row>
    <row r="73" spans="1:7" ht="32" customHeight="1" x14ac:dyDescent="0.2">
      <c r="A73" s="22">
        <v>62</v>
      </c>
      <c r="B73" s="23" t="s">
        <v>109</v>
      </c>
      <c r="C73" s="24" t="s">
        <v>447</v>
      </c>
      <c r="D73" s="25" t="s">
        <v>448</v>
      </c>
      <c r="E73" s="24"/>
      <c r="F73" s="24"/>
      <c r="G73" s="44"/>
    </row>
    <row r="74" spans="1:7" ht="32" customHeight="1" x14ac:dyDescent="0.2">
      <c r="A74" s="22">
        <v>63</v>
      </c>
      <c r="B74" s="26" t="s">
        <v>109</v>
      </c>
      <c r="C74" s="27" t="s">
        <v>449</v>
      </c>
      <c r="D74" s="28" t="s">
        <v>450</v>
      </c>
      <c r="E74" s="27"/>
      <c r="F74" s="27"/>
      <c r="G74" s="43"/>
    </row>
  </sheetData>
  <mergeCells count="10">
    <mergeCell ref="A1:E1"/>
    <mergeCell ref="A13:E13"/>
    <mergeCell ref="A36:E36"/>
    <mergeCell ref="A44:E44"/>
    <mergeCell ref="A56:E56"/>
    <mergeCell ref="A39:E39"/>
    <mergeCell ref="A29:E29"/>
    <mergeCell ref="A4:E4"/>
    <mergeCell ref="A2:E2"/>
    <mergeCell ref="A41:E41"/>
  </mergeCells>
  <conditionalFormatting sqref="A5:E75">
    <cfRule type="expression" dxfId="24" priority="1">
      <formula>$B5="Cumplido"</formula>
    </cfRule>
    <cfRule type="expression" dxfId="23" priority="2">
      <formula>$B5="En riesgo"</formula>
    </cfRule>
    <cfRule type="expression" dxfId="22" priority="3">
      <formula>$B5="N/A"</formula>
    </cfRule>
  </conditionalFormatting>
  <conditionalFormatting sqref="E5:E75">
    <cfRule type="expression" dxfId="21" priority="4">
      <formula>$E5="Adjunto"</formula>
    </cfRule>
    <cfRule type="expression" dxfId="20" priority="5">
      <formula>$E5="Sin documento"</formula>
    </cfRule>
    <cfRule type="expression" dxfId="19" priority="6">
      <formula>$E5="No aplica"</formula>
    </cfRule>
  </conditionalFormatting>
  <conditionalFormatting sqref="G4:G74">
    <cfRule type="expression" dxfId="18" priority="7">
      <formula>NOT(ISBLANK(G4))</formula>
    </cfRule>
  </conditionalFormatting>
  <dataValidations count="4">
    <dataValidation type="list" sqref="B5:B75" xr:uid="{00000000-0002-0000-0800-000000000000}">
      <formula1>"Pendiente,Cumplido,En riesgo,N/A"</formula1>
    </dataValidation>
    <dataValidation type="list" allowBlank="1" sqref="E5:E75" xr:uid="{00000000-0002-0000-0800-000001000000}">
      <formula1>"Sin documento,Adjunto,No aplica"</formula1>
    </dataValidation>
    <dataValidation type="list" allowBlank="1" sqref="F4:F74" xr:uid="{00000000-0002-0000-0800-000002000000}">
      <formula1>"Cliente,Asesor Russell Bedford,AGACE,Otro"</formula1>
    </dataValidation>
    <dataValidation type="date" operator="greaterThan" allowBlank="1" showErrorMessage="1" errorTitle="Fecha inválida" error="Ingrese una fecha válida en formato DD/MM/AAAA" sqref="G4:G74" xr:uid="{00000000-0002-0000-0800-000003000000}">
      <formula1>DATE(2020,1,1)</formula1>
    </dataValidation>
  </dataValidations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24"/>
  <sheetViews>
    <sheetView showGridLines="0" workbookViewId="0">
      <pane ySplit="4" topLeftCell="A13" activePane="bottomLeft" state="frozen"/>
      <selection pane="bottomLeft" sqref="A1:E1"/>
    </sheetView>
  </sheetViews>
  <sheetFormatPr baseColWidth="10" defaultColWidth="8.83203125" defaultRowHeight="15" x14ac:dyDescent="0.2"/>
  <cols>
    <col min="1" max="1" width="5" customWidth="1"/>
    <col min="2" max="2" width="22" customWidth="1"/>
    <col min="3" max="3" width="58" customWidth="1"/>
    <col min="4" max="4" width="22" customWidth="1"/>
    <col min="5" max="5" width="36" customWidth="1"/>
  </cols>
  <sheetData>
    <row r="1" spans="1:5" ht="48" customHeight="1" x14ac:dyDescent="0.2">
      <c r="A1" s="155" t="s">
        <v>206</v>
      </c>
      <c r="B1" s="77"/>
      <c r="C1" s="77"/>
      <c r="D1" s="77"/>
      <c r="E1" s="78"/>
    </row>
    <row r="2" spans="1:5" ht="14" customHeight="1" x14ac:dyDescent="0.2">
      <c r="A2" s="156" t="s">
        <v>125</v>
      </c>
      <c r="B2" s="157"/>
      <c r="C2" s="157"/>
      <c r="D2" s="157"/>
      <c r="E2" s="157"/>
    </row>
    <row r="3" spans="1:5" ht="22" customHeight="1" x14ac:dyDescent="0.2">
      <c r="A3" s="15" t="s">
        <v>20</v>
      </c>
      <c r="B3" s="15" t="s">
        <v>25</v>
      </c>
      <c r="C3" s="15" t="s">
        <v>126</v>
      </c>
      <c r="D3" s="15" t="s">
        <v>127</v>
      </c>
      <c r="E3" s="15" t="s">
        <v>128</v>
      </c>
    </row>
    <row r="4" spans="1:5" ht="18" customHeight="1" x14ac:dyDescent="0.2">
      <c r="A4" s="152" t="s">
        <v>207</v>
      </c>
      <c r="B4" s="77"/>
      <c r="C4" s="77"/>
      <c r="D4" s="77"/>
      <c r="E4" s="78"/>
    </row>
    <row r="5" spans="1:5" ht="32" customHeight="1" x14ac:dyDescent="0.2">
      <c r="A5" s="22">
        <v>1</v>
      </c>
      <c r="B5" s="47" t="s">
        <v>101</v>
      </c>
      <c r="C5" s="24" t="s">
        <v>208</v>
      </c>
      <c r="D5" s="25" t="s">
        <v>209</v>
      </c>
      <c r="E5" s="24"/>
    </row>
    <row r="6" spans="1:5" ht="32" customHeight="1" x14ac:dyDescent="0.2">
      <c r="A6" s="22">
        <v>2</v>
      </c>
      <c r="B6" s="47" t="s">
        <v>101</v>
      </c>
      <c r="C6" s="27" t="s">
        <v>210</v>
      </c>
      <c r="D6" s="28" t="s">
        <v>211</v>
      </c>
      <c r="E6" s="27"/>
    </row>
    <row r="7" spans="1:5" ht="32" customHeight="1" x14ac:dyDescent="0.2">
      <c r="A7" s="22">
        <v>3</v>
      </c>
      <c r="B7" s="47" t="s">
        <v>101</v>
      </c>
      <c r="C7" s="24" t="s">
        <v>212</v>
      </c>
      <c r="D7" s="25" t="s">
        <v>213</v>
      </c>
      <c r="E7" s="24"/>
    </row>
    <row r="8" spans="1:5" ht="32" customHeight="1" x14ac:dyDescent="0.2">
      <c r="A8" s="22">
        <v>4</v>
      </c>
      <c r="B8" s="47" t="s">
        <v>101</v>
      </c>
      <c r="C8" s="27" t="s">
        <v>214</v>
      </c>
      <c r="D8" s="28" t="s">
        <v>215</v>
      </c>
      <c r="E8" s="27"/>
    </row>
    <row r="9" spans="1:5" ht="32" customHeight="1" x14ac:dyDescent="0.2">
      <c r="A9" s="22">
        <v>5</v>
      </c>
      <c r="B9" s="47" t="s">
        <v>101</v>
      </c>
      <c r="C9" s="24" t="s">
        <v>216</v>
      </c>
      <c r="D9" s="25" t="s">
        <v>217</v>
      </c>
      <c r="E9" s="24"/>
    </row>
    <row r="10" spans="1:5" ht="32" customHeight="1" x14ac:dyDescent="0.2">
      <c r="A10" s="22">
        <v>6</v>
      </c>
      <c r="B10" s="47" t="s">
        <v>101</v>
      </c>
      <c r="C10" s="27" t="s">
        <v>218</v>
      </c>
      <c r="D10" s="28" t="s">
        <v>219</v>
      </c>
      <c r="E10" s="27"/>
    </row>
    <row r="11" spans="1:5" ht="18" customHeight="1" x14ac:dyDescent="0.2">
      <c r="A11" s="152" t="s">
        <v>220</v>
      </c>
      <c r="B11" s="77"/>
      <c r="C11" s="77"/>
      <c r="D11" s="77"/>
      <c r="E11" s="78"/>
    </row>
    <row r="12" spans="1:5" ht="45" x14ac:dyDescent="0.2">
      <c r="A12" s="22">
        <v>7</v>
      </c>
      <c r="B12" s="47" t="s">
        <v>101</v>
      </c>
      <c r="C12" s="24" t="s">
        <v>221</v>
      </c>
      <c r="D12" s="25" t="s">
        <v>222</v>
      </c>
      <c r="E12" s="24"/>
    </row>
    <row r="13" spans="1:5" ht="32" customHeight="1" x14ac:dyDescent="0.2">
      <c r="A13" s="22">
        <v>8</v>
      </c>
      <c r="B13" s="47" t="s">
        <v>101</v>
      </c>
      <c r="C13" s="27" t="s">
        <v>223</v>
      </c>
      <c r="D13" s="28" t="s">
        <v>224</v>
      </c>
      <c r="E13" s="27"/>
    </row>
    <row r="14" spans="1:5" ht="32" customHeight="1" x14ac:dyDescent="0.2">
      <c r="A14" s="22">
        <v>9</v>
      </c>
      <c r="B14" s="47" t="s">
        <v>101</v>
      </c>
      <c r="C14" s="24" t="s">
        <v>225</v>
      </c>
      <c r="D14" s="25" t="s">
        <v>226</v>
      </c>
      <c r="E14" s="24"/>
    </row>
    <row r="15" spans="1:5" ht="32" customHeight="1" x14ac:dyDescent="0.2">
      <c r="A15" s="22">
        <v>10</v>
      </c>
      <c r="B15" s="47" t="s">
        <v>101</v>
      </c>
      <c r="C15" s="27" t="s">
        <v>227</v>
      </c>
      <c r="D15" s="28" t="s">
        <v>228</v>
      </c>
      <c r="E15" s="27"/>
    </row>
    <row r="16" spans="1:5" ht="32" customHeight="1" x14ac:dyDescent="0.2">
      <c r="A16" s="22">
        <v>11</v>
      </c>
      <c r="B16" s="47" t="s">
        <v>101</v>
      </c>
      <c r="C16" s="24" t="s">
        <v>229</v>
      </c>
      <c r="D16" s="25" t="s">
        <v>230</v>
      </c>
      <c r="E16" s="24"/>
    </row>
    <row r="17" spans="1:5" ht="18" customHeight="1" x14ac:dyDescent="0.2">
      <c r="A17" s="152" t="s">
        <v>231</v>
      </c>
      <c r="B17" s="77"/>
      <c r="C17" s="77"/>
      <c r="D17" s="77"/>
      <c r="E17" s="78"/>
    </row>
    <row r="18" spans="1:5" ht="32" customHeight="1" x14ac:dyDescent="0.2">
      <c r="A18" s="22">
        <v>12</v>
      </c>
      <c r="B18" s="47" t="s">
        <v>101</v>
      </c>
      <c r="C18" s="24" t="s">
        <v>232</v>
      </c>
      <c r="D18" s="25" t="s">
        <v>233</v>
      </c>
      <c r="E18" s="24"/>
    </row>
    <row r="19" spans="1:5" ht="32" customHeight="1" x14ac:dyDescent="0.2">
      <c r="A19" s="22">
        <v>13</v>
      </c>
      <c r="B19" s="47" t="s">
        <v>101</v>
      </c>
      <c r="C19" s="27" t="s">
        <v>234</v>
      </c>
      <c r="D19" s="28" t="s">
        <v>235</v>
      </c>
      <c r="E19" s="27"/>
    </row>
    <row r="20" spans="1:5" ht="32" customHeight="1" x14ac:dyDescent="0.2">
      <c r="A20" s="22">
        <v>14</v>
      </c>
      <c r="B20" s="47" t="s">
        <v>101</v>
      </c>
      <c r="C20" s="24" t="s">
        <v>236</v>
      </c>
      <c r="D20" s="25" t="s">
        <v>237</v>
      </c>
      <c r="E20" s="24"/>
    </row>
    <row r="21" spans="1:5" ht="32" customHeight="1" x14ac:dyDescent="0.2">
      <c r="A21" s="22">
        <v>15</v>
      </c>
      <c r="B21" s="47" t="s">
        <v>101</v>
      </c>
      <c r="C21" s="27" t="s">
        <v>238</v>
      </c>
      <c r="D21" s="28" t="s">
        <v>239</v>
      </c>
      <c r="E21" s="27"/>
    </row>
    <row r="22" spans="1:5" ht="32" customHeight="1" x14ac:dyDescent="0.2">
      <c r="A22" s="22">
        <v>16</v>
      </c>
      <c r="B22" s="47" t="s">
        <v>101</v>
      </c>
      <c r="C22" s="24" t="s">
        <v>240</v>
      </c>
      <c r="D22" s="25" t="s">
        <v>241</v>
      </c>
      <c r="E22" s="24"/>
    </row>
    <row r="23" spans="1:5" ht="32" customHeight="1" x14ac:dyDescent="0.2">
      <c r="A23" s="22">
        <v>17</v>
      </c>
      <c r="B23" s="47" t="s">
        <v>101</v>
      </c>
      <c r="C23" s="27" t="s">
        <v>242</v>
      </c>
      <c r="D23" s="28" t="s">
        <v>243</v>
      </c>
      <c r="E23" s="27"/>
    </row>
    <row r="24" spans="1:5" ht="32" customHeight="1" x14ac:dyDescent="0.2">
      <c r="A24" s="22">
        <v>18</v>
      </c>
      <c r="B24" s="47" t="s">
        <v>101</v>
      </c>
      <c r="C24" s="24" t="s">
        <v>244</v>
      </c>
      <c r="D24" s="25" t="s">
        <v>245</v>
      </c>
      <c r="E24" s="24"/>
    </row>
  </sheetData>
  <mergeCells count="5">
    <mergeCell ref="A4:E4"/>
    <mergeCell ref="A2:E2"/>
    <mergeCell ref="A11:E11"/>
    <mergeCell ref="A1:E1"/>
    <mergeCell ref="A17:E17"/>
  </mergeCells>
  <conditionalFormatting sqref="A5:E25">
    <cfRule type="expression" dxfId="17" priority="1">
      <formula>$B5="Cumplido"</formula>
    </cfRule>
    <cfRule type="expression" dxfId="16" priority="2">
      <formula>$B5="En riesgo"</formula>
    </cfRule>
    <cfRule type="expression" dxfId="15" priority="3">
      <formula>$B5="N/A"</formula>
    </cfRule>
  </conditionalFormatting>
  <conditionalFormatting sqref="E5:E25">
    <cfRule type="expression" dxfId="14" priority="4">
      <formula>$E5="Adjunto"</formula>
    </cfRule>
    <cfRule type="expression" dxfId="13" priority="5">
      <formula>$E5="Sin documento"</formula>
    </cfRule>
    <cfRule type="expression" dxfId="12" priority="6">
      <formula>$E5="No aplica"</formula>
    </cfRule>
  </conditionalFormatting>
  <dataValidations count="2">
    <dataValidation type="list" sqref="B5:B25" xr:uid="{00000000-0002-0000-0500-000000000000}">
      <formula1>"Pendiente,Cumplido,En riesgo,N/A"</formula1>
    </dataValidation>
    <dataValidation type="list" allowBlank="1" sqref="E5:E25" xr:uid="{00000000-0002-0000-0500-000001000000}">
      <formula1>"Sin documento,Adjunto,No aplica"</formula1>
    </dataValidation>
  </dataValidations>
  <pageMargins left="0.75" right="0.75" top="1" bottom="1" header="0.5" footer="0.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22"/>
  <sheetViews>
    <sheetView showGridLines="0" tabSelected="1" workbookViewId="0">
      <pane ySplit="4" topLeftCell="A5" activePane="bottomLeft" state="frozen"/>
      <selection pane="bottomLeft" sqref="A1:E1"/>
    </sheetView>
  </sheetViews>
  <sheetFormatPr baseColWidth="10" defaultColWidth="8.83203125" defaultRowHeight="15" x14ac:dyDescent="0.2"/>
  <cols>
    <col min="1" max="1" width="5" customWidth="1"/>
    <col min="2" max="2" width="22" customWidth="1"/>
    <col min="3" max="3" width="58" customWidth="1"/>
    <col min="4" max="4" width="22" customWidth="1"/>
    <col min="5" max="5" width="36" customWidth="1"/>
  </cols>
  <sheetData>
    <row r="1" spans="1:5" ht="48" customHeight="1" x14ac:dyDescent="0.2">
      <c r="A1" s="164" t="s">
        <v>246</v>
      </c>
      <c r="B1" s="115"/>
      <c r="C1" s="115"/>
      <c r="D1" s="115"/>
      <c r="E1" s="116"/>
    </row>
    <row r="2" spans="1:5" ht="14" customHeight="1" x14ac:dyDescent="0.2">
      <c r="A2" s="162" t="s">
        <v>125</v>
      </c>
      <c r="B2" s="163"/>
      <c r="C2" s="163"/>
      <c r="D2" s="163"/>
      <c r="E2" s="163"/>
    </row>
    <row r="3" spans="1:5" ht="22" customHeight="1" x14ac:dyDescent="0.2">
      <c r="A3" s="29" t="s">
        <v>20</v>
      </c>
      <c r="B3" s="29" t="s">
        <v>25</v>
      </c>
      <c r="C3" s="29" t="s">
        <v>126</v>
      </c>
      <c r="D3" s="29" t="s">
        <v>127</v>
      </c>
      <c r="E3" s="29" t="s">
        <v>128</v>
      </c>
    </row>
    <row r="4" spans="1:5" ht="30" customHeight="1" x14ac:dyDescent="0.2">
      <c r="A4" s="161" t="s">
        <v>247</v>
      </c>
      <c r="B4" s="115"/>
      <c r="C4" s="115"/>
      <c r="D4" s="115"/>
      <c r="E4" s="116"/>
    </row>
    <row r="5" spans="1:5" ht="18" customHeight="1" x14ac:dyDescent="0.2">
      <c r="A5" s="165" t="s">
        <v>248</v>
      </c>
      <c r="B5" s="115"/>
      <c r="C5" s="115"/>
      <c r="D5" s="115"/>
      <c r="E5" s="116"/>
    </row>
    <row r="6" spans="1:5" ht="32" customHeight="1" x14ac:dyDescent="0.2">
      <c r="A6" s="22">
        <v>1</v>
      </c>
      <c r="B6" s="47" t="s">
        <v>101</v>
      </c>
      <c r="C6" s="24" t="s">
        <v>249</v>
      </c>
      <c r="D6" s="25" t="s">
        <v>250</v>
      </c>
      <c r="E6" s="24"/>
    </row>
    <row r="7" spans="1:5" ht="32" customHeight="1" x14ac:dyDescent="0.2">
      <c r="A7" s="22">
        <v>2</v>
      </c>
      <c r="B7" s="47" t="s">
        <v>101</v>
      </c>
      <c r="C7" s="27" t="s">
        <v>251</v>
      </c>
      <c r="D7" s="28" t="s">
        <v>252</v>
      </c>
      <c r="E7" s="27"/>
    </row>
    <row r="8" spans="1:5" ht="32" customHeight="1" x14ac:dyDescent="0.2">
      <c r="A8" s="22">
        <v>3</v>
      </c>
      <c r="B8" s="47" t="s">
        <v>101</v>
      </c>
      <c r="C8" s="24" t="s">
        <v>253</v>
      </c>
      <c r="D8" s="25" t="s">
        <v>254</v>
      </c>
      <c r="E8" s="24"/>
    </row>
    <row r="9" spans="1:5" ht="32" customHeight="1" x14ac:dyDescent="0.2">
      <c r="A9" s="22">
        <v>4</v>
      </c>
      <c r="B9" s="47" t="s">
        <v>101</v>
      </c>
      <c r="C9" s="27" t="s">
        <v>255</v>
      </c>
      <c r="D9" s="28" t="s">
        <v>256</v>
      </c>
      <c r="E9" s="27"/>
    </row>
    <row r="10" spans="1:5" ht="32" customHeight="1" x14ac:dyDescent="0.2">
      <c r="A10" s="22">
        <v>5</v>
      </c>
      <c r="B10" s="47" t="s">
        <v>101</v>
      </c>
      <c r="C10" s="24" t="s">
        <v>257</v>
      </c>
      <c r="D10" s="25" t="s">
        <v>258</v>
      </c>
      <c r="E10" s="24"/>
    </row>
    <row r="11" spans="1:5" ht="32" customHeight="1" x14ac:dyDescent="0.2">
      <c r="A11" s="22">
        <v>6</v>
      </c>
      <c r="B11" s="47" t="s">
        <v>101</v>
      </c>
      <c r="C11" s="27" t="s">
        <v>259</v>
      </c>
      <c r="D11" s="28" t="s">
        <v>260</v>
      </c>
      <c r="E11" s="27"/>
    </row>
    <row r="12" spans="1:5" ht="32" customHeight="1" x14ac:dyDescent="0.2">
      <c r="A12" s="22">
        <v>7</v>
      </c>
      <c r="B12" s="47" t="s">
        <v>101</v>
      </c>
      <c r="C12" s="24" t="s">
        <v>261</v>
      </c>
      <c r="D12" s="25" t="s">
        <v>262</v>
      </c>
      <c r="E12" s="24"/>
    </row>
    <row r="13" spans="1:5" ht="18" customHeight="1" x14ac:dyDescent="0.2">
      <c r="A13" s="165" t="s">
        <v>263</v>
      </c>
      <c r="B13" s="115"/>
      <c r="C13" s="115"/>
      <c r="D13" s="115"/>
      <c r="E13" s="116"/>
    </row>
    <row r="14" spans="1:5" ht="32" customHeight="1" x14ac:dyDescent="0.2">
      <c r="A14" s="22">
        <v>8</v>
      </c>
      <c r="B14" s="47" t="s">
        <v>101</v>
      </c>
      <c r="C14" s="24" t="s">
        <v>264</v>
      </c>
      <c r="D14" s="25" t="s">
        <v>265</v>
      </c>
      <c r="E14" s="24"/>
    </row>
    <row r="15" spans="1:5" ht="32" customHeight="1" x14ac:dyDescent="0.2">
      <c r="A15" s="22">
        <v>9</v>
      </c>
      <c r="B15" s="47" t="s">
        <v>101</v>
      </c>
      <c r="C15" s="27" t="s">
        <v>266</v>
      </c>
      <c r="D15" s="28" t="s">
        <v>267</v>
      </c>
      <c r="E15" s="27"/>
    </row>
    <row r="16" spans="1:5" ht="32" customHeight="1" x14ac:dyDescent="0.2">
      <c r="A16" s="22">
        <v>10</v>
      </c>
      <c r="B16" s="47" t="s">
        <v>101</v>
      </c>
      <c r="C16" s="24" t="s">
        <v>268</v>
      </c>
      <c r="D16" s="25" t="s">
        <v>269</v>
      </c>
      <c r="E16" s="24"/>
    </row>
    <row r="17" spans="1:5" ht="32" customHeight="1" x14ac:dyDescent="0.2">
      <c r="A17" s="22">
        <v>11</v>
      </c>
      <c r="B17" s="47" t="s">
        <v>101</v>
      </c>
      <c r="C17" s="27" t="s">
        <v>270</v>
      </c>
      <c r="D17" s="28" t="s">
        <v>271</v>
      </c>
      <c r="E17" s="27"/>
    </row>
    <row r="18" spans="1:5" ht="32" customHeight="1" x14ac:dyDescent="0.2">
      <c r="A18" s="22">
        <v>12</v>
      </c>
      <c r="B18" s="47" t="s">
        <v>101</v>
      </c>
      <c r="C18" s="24" t="s">
        <v>272</v>
      </c>
      <c r="D18" s="25" t="s">
        <v>273</v>
      </c>
      <c r="E18" s="24"/>
    </row>
    <row r="19" spans="1:5" ht="32" customHeight="1" x14ac:dyDescent="0.2">
      <c r="A19" s="22">
        <v>13</v>
      </c>
      <c r="B19" s="47" t="s">
        <v>101</v>
      </c>
      <c r="C19" s="27" t="s">
        <v>274</v>
      </c>
      <c r="D19" s="28" t="s">
        <v>275</v>
      </c>
      <c r="E19" s="27"/>
    </row>
    <row r="20" spans="1:5" ht="32" customHeight="1" x14ac:dyDescent="0.2">
      <c r="A20" s="22">
        <v>14</v>
      </c>
      <c r="B20" s="47" t="s">
        <v>101</v>
      </c>
      <c r="C20" s="24" t="s">
        <v>276</v>
      </c>
      <c r="D20" s="25" t="s">
        <v>277</v>
      </c>
      <c r="E20" s="24"/>
    </row>
    <row r="21" spans="1:5" ht="32" customHeight="1" x14ac:dyDescent="0.2">
      <c r="A21" s="22">
        <v>15</v>
      </c>
      <c r="B21" s="47" t="s">
        <v>101</v>
      </c>
      <c r="C21" s="27" t="s">
        <v>278</v>
      </c>
      <c r="D21" s="28" t="s">
        <v>279</v>
      </c>
      <c r="E21" s="27"/>
    </row>
    <row r="22" spans="1:5" ht="32" customHeight="1" x14ac:dyDescent="0.2">
      <c r="A22" s="22">
        <v>16</v>
      </c>
      <c r="B22" s="47" t="s">
        <v>101</v>
      </c>
      <c r="C22" s="24" t="s">
        <v>280</v>
      </c>
      <c r="D22" s="25" t="s">
        <v>281</v>
      </c>
      <c r="E22" s="24"/>
    </row>
  </sheetData>
  <mergeCells count="5">
    <mergeCell ref="A4:E4"/>
    <mergeCell ref="A2:E2"/>
    <mergeCell ref="A1:E1"/>
    <mergeCell ref="A5:E5"/>
    <mergeCell ref="A13:E13"/>
  </mergeCells>
  <conditionalFormatting sqref="A5:E23">
    <cfRule type="expression" dxfId="11" priority="1">
      <formula>$B5="Cumplido"</formula>
    </cfRule>
    <cfRule type="expression" dxfId="10" priority="2">
      <formula>$B5="En riesgo"</formula>
    </cfRule>
    <cfRule type="expression" dxfId="9" priority="3">
      <formula>$B5="N/A"</formula>
    </cfRule>
  </conditionalFormatting>
  <conditionalFormatting sqref="E5:E23">
    <cfRule type="expression" dxfId="8" priority="4">
      <formula>$E5="Adjunto"</formula>
    </cfRule>
    <cfRule type="expression" dxfId="7" priority="5">
      <formula>$E5="Sin documento"</formula>
    </cfRule>
    <cfRule type="expression" dxfId="6" priority="6">
      <formula>$E5="No aplica"</formula>
    </cfRule>
  </conditionalFormatting>
  <dataValidations count="2">
    <dataValidation type="list" sqref="B5:B23" xr:uid="{00000000-0002-0000-0600-000000000000}">
      <formula1>"Pendiente,Cumplido,En riesgo,N/A"</formula1>
    </dataValidation>
    <dataValidation type="list" allowBlank="1" sqref="E5:E23" xr:uid="{00000000-0002-0000-0600-000001000000}">
      <formula1>"Sin documento,Adjunto,No aplica"</formula1>
    </dataValidation>
  </dataValidations>
  <pageMargins left="0.75" right="0.75" top="1" bottom="1" header="0.5" footer="0.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27"/>
  <sheetViews>
    <sheetView showGridLines="0" workbookViewId="0">
      <pane ySplit="4" topLeftCell="A14" activePane="bottomLeft" state="frozen"/>
      <selection pane="bottomLeft" sqref="A1:E1"/>
    </sheetView>
  </sheetViews>
  <sheetFormatPr baseColWidth="10" defaultColWidth="8.83203125" defaultRowHeight="15" x14ac:dyDescent="0.2"/>
  <cols>
    <col min="1" max="1" width="5" customWidth="1"/>
    <col min="2" max="2" width="22" customWidth="1"/>
    <col min="3" max="3" width="58" customWidth="1"/>
    <col min="4" max="4" width="22" customWidth="1"/>
    <col min="5" max="5" width="36" customWidth="1"/>
  </cols>
  <sheetData>
    <row r="1" spans="1:5" ht="48" customHeight="1" x14ac:dyDescent="0.2">
      <c r="A1" s="169" t="s">
        <v>282</v>
      </c>
      <c r="B1" s="89"/>
      <c r="C1" s="89"/>
      <c r="D1" s="89"/>
      <c r="E1" s="90"/>
    </row>
    <row r="2" spans="1:5" ht="14" customHeight="1" x14ac:dyDescent="0.2">
      <c r="A2" s="167" t="s">
        <v>125</v>
      </c>
      <c r="B2" s="168"/>
      <c r="C2" s="168"/>
      <c r="D2" s="168"/>
      <c r="E2" s="168"/>
    </row>
    <row r="3" spans="1:5" ht="22" customHeight="1" x14ac:dyDescent="0.2">
      <c r="A3" s="30" t="s">
        <v>20</v>
      </c>
      <c r="B3" s="30" t="s">
        <v>25</v>
      </c>
      <c r="C3" s="30" t="s">
        <v>126</v>
      </c>
      <c r="D3" s="30" t="s">
        <v>127</v>
      </c>
      <c r="E3" s="30" t="s">
        <v>128</v>
      </c>
    </row>
    <row r="4" spans="1:5" ht="30" customHeight="1" x14ac:dyDescent="0.2">
      <c r="A4" s="161" t="s">
        <v>283</v>
      </c>
      <c r="B4" s="115"/>
      <c r="C4" s="115"/>
      <c r="D4" s="115"/>
      <c r="E4" s="116"/>
    </row>
    <row r="5" spans="1:5" ht="18" customHeight="1" x14ac:dyDescent="0.2">
      <c r="A5" s="166" t="s">
        <v>284</v>
      </c>
      <c r="B5" s="89"/>
      <c r="C5" s="89"/>
      <c r="D5" s="89"/>
      <c r="E5" s="90"/>
    </row>
    <row r="6" spans="1:5" ht="32" customHeight="1" x14ac:dyDescent="0.2">
      <c r="A6" s="22">
        <v>1</v>
      </c>
      <c r="B6" s="47" t="s">
        <v>101</v>
      </c>
      <c r="C6" s="24" t="s">
        <v>285</v>
      </c>
      <c r="D6" s="25" t="s">
        <v>286</v>
      </c>
      <c r="E6" s="24"/>
    </row>
    <row r="7" spans="1:5" ht="32" customHeight="1" x14ac:dyDescent="0.2">
      <c r="A7" s="22">
        <v>2</v>
      </c>
      <c r="B7" s="47" t="s">
        <v>101</v>
      </c>
      <c r="C7" s="27" t="s">
        <v>287</v>
      </c>
      <c r="D7" s="28" t="s">
        <v>288</v>
      </c>
      <c r="E7" s="27"/>
    </row>
    <row r="8" spans="1:5" ht="32" customHeight="1" x14ac:dyDescent="0.2">
      <c r="A8" s="22">
        <v>3</v>
      </c>
      <c r="B8" s="47" t="s">
        <v>101</v>
      </c>
      <c r="C8" s="24" t="s">
        <v>289</v>
      </c>
      <c r="D8" s="25" t="s">
        <v>290</v>
      </c>
      <c r="E8" s="24"/>
    </row>
    <row r="9" spans="1:5" ht="32" customHeight="1" x14ac:dyDescent="0.2">
      <c r="A9" s="22">
        <v>4</v>
      </c>
      <c r="B9" s="47" t="s">
        <v>101</v>
      </c>
      <c r="C9" s="27" t="s">
        <v>291</v>
      </c>
      <c r="D9" s="28" t="s">
        <v>292</v>
      </c>
      <c r="E9" s="27"/>
    </row>
    <row r="10" spans="1:5" ht="32" customHeight="1" x14ac:dyDescent="0.2">
      <c r="A10" s="22">
        <v>5</v>
      </c>
      <c r="B10" s="47" t="s">
        <v>101</v>
      </c>
      <c r="C10" s="24" t="s">
        <v>293</v>
      </c>
      <c r="D10" s="25" t="s">
        <v>294</v>
      </c>
      <c r="E10" s="24"/>
    </row>
    <row r="11" spans="1:5" ht="32" customHeight="1" x14ac:dyDescent="0.2">
      <c r="A11" s="22">
        <v>6</v>
      </c>
      <c r="B11" s="47" t="s">
        <v>101</v>
      </c>
      <c r="C11" s="27" t="s">
        <v>295</v>
      </c>
      <c r="D11" s="28" t="s">
        <v>296</v>
      </c>
      <c r="E11" s="27"/>
    </row>
    <row r="12" spans="1:5" ht="32" customHeight="1" x14ac:dyDescent="0.2">
      <c r="A12" s="22">
        <v>7</v>
      </c>
      <c r="B12" s="47" t="s">
        <v>101</v>
      </c>
      <c r="C12" s="24" t="s">
        <v>297</v>
      </c>
      <c r="D12" s="25" t="s">
        <v>298</v>
      </c>
      <c r="E12" s="24"/>
    </row>
    <row r="13" spans="1:5" ht="32" customHeight="1" x14ac:dyDescent="0.2">
      <c r="A13" s="22">
        <v>8</v>
      </c>
      <c r="B13" s="47" t="s">
        <v>101</v>
      </c>
      <c r="C13" s="27" t="s">
        <v>299</v>
      </c>
      <c r="D13" s="28" t="s">
        <v>300</v>
      </c>
      <c r="E13" s="27"/>
    </row>
    <row r="14" spans="1:5" ht="32" customHeight="1" x14ac:dyDescent="0.2">
      <c r="A14" s="22">
        <v>9</v>
      </c>
      <c r="B14" s="47" t="s">
        <v>101</v>
      </c>
      <c r="C14" s="24" t="s">
        <v>301</v>
      </c>
      <c r="D14" s="25" t="s">
        <v>302</v>
      </c>
      <c r="E14" s="24"/>
    </row>
    <row r="15" spans="1:5" ht="32" customHeight="1" x14ac:dyDescent="0.2">
      <c r="A15" s="22">
        <v>10</v>
      </c>
      <c r="B15" s="47" t="s">
        <v>101</v>
      </c>
      <c r="C15" s="27" t="s">
        <v>303</v>
      </c>
      <c r="D15" s="28" t="s">
        <v>304</v>
      </c>
      <c r="E15" s="27"/>
    </row>
    <row r="16" spans="1:5" ht="18" customHeight="1" x14ac:dyDescent="0.2">
      <c r="A16" s="166" t="s">
        <v>305</v>
      </c>
      <c r="B16" s="89"/>
      <c r="C16" s="89"/>
      <c r="D16" s="89"/>
      <c r="E16" s="90"/>
    </row>
    <row r="17" spans="1:5" ht="32" customHeight="1" x14ac:dyDescent="0.2">
      <c r="A17" s="22">
        <v>11</v>
      </c>
      <c r="B17" s="47" t="s">
        <v>101</v>
      </c>
      <c r="C17" s="24" t="s">
        <v>306</v>
      </c>
      <c r="D17" s="25" t="s">
        <v>307</v>
      </c>
      <c r="E17" s="24"/>
    </row>
    <row r="18" spans="1:5" ht="32" customHeight="1" x14ac:dyDescent="0.2">
      <c r="A18" s="22">
        <v>12</v>
      </c>
      <c r="B18" s="47" t="s">
        <v>101</v>
      </c>
      <c r="C18" s="27" t="s">
        <v>308</v>
      </c>
      <c r="D18" s="28" t="s">
        <v>309</v>
      </c>
      <c r="E18" s="27"/>
    </row>
    <row r="19" spans="1:5" ht="32" customHeight="1" x14ac:dyDescent="0.2">
      <c r="A19" s="22">
        <v>13</v>
      </c>
      <c r="B19" s="47" t="s">
        <v>101</v>
      </c>
      <c r="C19" s="24" t="s">
        <v>310</v>
      </c>
      <c r="D19" s="25" t="s">
        <v>311</v>
      </c>
      <c r="E19" s="24"/>
    </row>
    <row r="20" spans="1:5" ht="32" customHeight="1" x14ac:dyDescent="0.2">
      <c r="A20" s="22">
        <v>14</v>
      </c>
      <c r="B20" s="47" t="s">
        <v>101</v>
      </c>
      <c r="C20" s="27" t="s">
        <v>312</v>
      </c>
      <c r="D20" s="28" t="s">
        <v>313</v>
      </c>
      <c r="E20" s="27"/>
    </row>
    <row r="21" spans="1:5" ht="32" customHeight="1" x14ac:dyDescent="0.2">
      <c r="A21" s="22">
        <v>15</v>
      </c>
      <c r="B21" s="47" t="s">
        <v>101</v>
      </c>
      <c r="C21" s="24" t="s">
        <v>314</v>
      </c>
      <c r="D21" s="25" t="s">
        <v>315</v>
      </c>
      <c r="E21" s="24"/>
    </row>
    <row r="22" spans="1:5" ht="32" customHeight="1" x14ac:dyDescent="0.2">
      <c r="A22" s="22">
        <v>16</v>
      </c>
      <c r="B22" s="47" t="s">
        <v>101</v>
      </c>
      <c r="C22" s="27" t="s">
        <v>316</v>
      </c>
      <c r="D22" s="28" t="s">
        <v>317</v>
      </c>
      <c r="E22" s="27"/>
    </row>
    <row r="23" spans="1:5" ht="32" customHeight="1" x14ac:dyDescent="0.2">
      <c r="A23" s="22">
        <v>17</v>
      </c>
      <c r="B23" s="47" t="s">
        <v>101</v>
      </c>
      <c r="C23" s="24" t="s">
        <v>318</v>
      </c>
      <c r="D23" s="25" t="s">
        <v>319</v>
      </c>
      <c r="E23" s="24"/>
    </row>
    <row r="24" spans="1:5" ht="18" customHeight="1" x14ac:dyDescent="0.2">
      <c r="A24" s="166" t="s">
        <v>320</v>
      </c>
      <c r="B24" s="89"/>
      <c r="C24" s="89"/>
      <c r="D24" s="89"/>
      <c r="E24" s="90"/>
    </row>
    <row r="25" spans="1:5" ht="32" customHeight="1" x14ac:dyDescent="0.2">
      <c r="A25" s="22">
        <v>18</v>
      </c>
      <c r="B25" s="47" t="s">
        <v>101</v>
      </c>
      <c r="C25" s="24" t="s">
        <v>321</v>
      </c>
      <c r="D25" s="25" t="s">
        <v>322</v>
      </c>
      <c r="E25" s="24"/>
    </row>
    <row r="26" spans="1:5" ht="32" customHeight="1" x14ac:dyDescent="0.2">
      <c r="A26" s="22">
        <v>19</v>
      </c>
      <c r="B26" s="47" t="s">
        <v>101</v>
      </c>
      <c r="C26" s="27" t="s">
        <v>323</v>
      </c>
      <c r="D26" s="28" t="s">
        <v>324</v>
      </c>
      <c r="E26" s="27"/>
    </row>
    <row r="27" spans="1:5" ht="32" customHeight="1" x14ac:dyDescent="0.2">
      <c r="A27" s="22">
        <v>20</v>
      </c>
      <c r="B27" s="47" t="s">
        <v>101</v>
      </c>
      <c r="C27" s="24" t="s">
        <v>325</v>
      </c>
      <c r="D27" s="25" t="s">
        <v>326</v>
      </c>
      <c r="E27" s="24"/>
    </row>
  </sheetData>
  <mergeCells count="6">
    <mergeCell ref="A4:E4"/>
    <mergeCell ref="A24:E24"/>
    <mergeCell ref="A2:E2"/>
    <mergeCell ref="A16:E16"/>
    <mergeCell ref="A1:E1"/>
    <mergeCell ref="A5:E5"/>
  </mergeCells>
  <conditionalFormatting sqref="A5:E28">
    <cfRule type="expression" dxfId="5" priority="1">
      <formula>$B5="Cumplido"</formula>
    </cfRule>
    <cfRule type="expression" dxfId="4" priority="2">
      <formula>$B5="En riesgo"</formula>
    </cfRule>
    <cfRule type="expression" dxfId="3" priority="3">
      <formula>$B5="N/A"</formula>
    </cfRule>
  </conditionalFormatting>
  <conditionalFormatting sqref="E5:E28">
    <cfRule type="expression" dxfId="2" priority="4">
      <formula>$E5="Adjunto"</formula>
    </cfRule>
    <cfRule type="expression" dxfId="1" priority="5">
      <formula>$E5="Sin documento"</formula>
    </cfRule>
    <cfRule type="expression" dxfId="0" priority="6">
      <formula>$E5="No aplica"</formula>
    </cfRule>
  </conditionalFormatting>
  <dataValidations count="2">
    <dataValidation type="list" sqref="B5:B28" xr:uid="{00000000-0002-0000-0700-000000000000}">
      <formula1>"Pendiente,Cumplido,En riesgo,N/A"</formula1>
    </dataValidation>
    <dataValidation type="list" allowBlank="1" sqref="E5:E28" xr:uid="{00000000-0002-0000-0700-000001000000}">
      <formula1>"Sin documento,Adjunto,No aplica"</formula1>
    </dataValidation>
  </dataValidations>
  <pageMargins left="0.75" right="0.75" top="1" bottom="1" header="0.5" footer="0.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19"/>
  <sheetViews>
    <sheetView workbookViewId="0"/>
  </sheetViews>
  <sheetFormatPr baseColWidth="10" defaultColWidth="8.83203125" defaultRowHeight="15" x14ac:dyDescent="0.2"/>
  <sheetData>
    <row r="1" spans="1:6" x14ac:dyDescent="0.2">
      <c r="A1" t="s">
        <v>87</v>
      </c>
      <c r="B1" t="s">
        <v>109</v>
      </c>
      <c r="C1" t="s">
        <v>113</v>
      </c>
      <c r="D1" t="s">
        <v>117</v>
      </c>
      <c r="E1" t="s">
        <v>101</v>
      </c>
      <c r="F1" t="s">
        <v>88</v>
      </c>
    </row>
    <row r="2" spans="1:6" x14ac:dyDescent="0.2">
      <c r="A2" t="s">
        <v>451</v>
      </c>
      <c r="B2">
        <f>COUNTIF(Req_Generales!B:B,"Pendiente")</f>
        <v>22</v>
      </c>
      <c r="C2">
        <f>COUNTIF(Req_Generales!B:B,"Cumplido")</f>
        <v>0</v>
      </c>
      <c r="D2">
        <f>COUNTIF(Req_Generales!B:B,"En riesgo")</f>
        <v>0</v>
      </c>
      <c r="E2">
        <f>COUNTIF(Req_Generales!B:B,"N/A")</f>
        <v>0</v>
      </c>
      <c r="F2">
        <f>SUM(B2:E2)</f>
        <v>22</v>
      </c>
    </row>
    <row r="3" spans="1:6" x14ac:dyDescent="0.2">
      <c r="A3" t="s">
        <v>452</v>
      </c>
      <c r="B3">
        <f>COUNTIF(Req_Rubro!B:B,"Pendiente")</f>
        <v>16</v>
      </c>
      <c r="C3">
        <f>COUNTIF(Req_Rubro!B:B,"Cumplido")</f>
        <v>0</v>
      </c>
      <c r="D3">
        <f>COUNTIF(Req_Rubro!B:B,"En riesgo")</f>
        <v>0</v>
      </c>
      <c r="E3">
        <f>COUNTIF(Req_Rubro!B:B,"N/A")</f>
        <v>0</v>
      </c>
      <c r="F3">
        <f>SUM(B3:E3)</f>
        <v>16</v>
      </c>
    </row>
    <row r="4" spans="1:6" x14ac:dyDescent="0.2">
      <c r="A4" t="s">
        <v>453</v>
      </c>
      <c r="B4">
        <f>COUNTIF(Solicitud_61LA!B:B,"Pendiente")</f>
        <v>47</v>
      </c>
      <c r="C4">
        <f>COUNTIF(Solicitud_61LA!B:B,"Cumplido")</f>
        <v>0</v>
      </c>
      <c r="D4">
        <f>COUNTIF(Solicitud_61LA!B:B,"En riesgo")</f>
        <v>0</v>
      </c>
      <c r="E4">
        <f>COUNTIF(Solicitud_61LA!B:B,"N/A")</f>
        <v>16</v>
      </c>
      <c r="F4">
        <f>SUM(B4:E4)</f>
        <v>63</v>
      </c>
    </row>
    <row r="6" spans="1:6" x14ac:dyDescent="0.2">
      <c r="A6" t="s">
        <v>454</v>
      </c>
      <c r="B6">
        <f>SUM(B2:B4)</f>
        <v>85</v>
      </c>
      <c r="C6">
        <f>SUM(C2:C4)</f>
        <v>0</v>
      </c>
      <c r="D6">
        <f>SUM(D2:D4)</f>
        <v>0</v>
      </c>
      <c r="E6">
        <f>SUM(E2:E4)</f>
        <v>16</v>
      </c>
      <c r="F6">
        <f>SUM(F2:F4)</f>
        <v>101</v>
      </c>
    </row>
    <row r="9" spans="1:6" x14ac:dyDescent="0.2">
      <c r="A9" t="s">
        <v>455</v>
      </c>
      <c r="B9" t="s">
        <v>456</v>
      </c>
    </row>
    <row r="10" spans="1:6" x14ac:dyDescent="0.2">
      <c r="A10" t="s">
        <v>109</v>
      </c>
      <c r="B10">
        <f>B6</f>
        <v>85</v>
      </c>
    </row>
    <row r="11" spans="1:6" x14ac:dyDescent="0.2">
      <c r="A11" t="s">
        <v>113</v>
      </c>
      <c r="B11">
        <f>C6</f>
        <v>0</v>
      </c>
    </row>
    <row r="12" spans="1:6" x14ac:dyDescent="0.2">
      <c r="A12" t="s">
        <v>117</v>
      </c>
      <c r="B12">
        <f>D6</f>
        <v>0</v>
      </c>
    </row>
    <row r="15" spans="1:6" x14ac:dyDescent="0.2">
      <c r="A15" t="s">
        <v>22</v>
      </c>
      <c r="B15" t="s">
        <v>456</v>
      </c>
    </row>
    <row r="16" spans="1:6" x14ac:dyDescent="0.2">
      <c r="A16" t="s">
        <v>457</v>
      </c>
      <c r="B16">
        <f>COUNTIF(Req_Generales!F:F,"Cliente")+COUNTIF(Req_Rubro!F:F,"Cliente")+COUNTIF(Solicitud_61LA!F:F,"Cliente")</f>
        <v>0</v>
      </c>
    </row>
    <row r="17" spans="1:2" x14ac:dyDescent="0.2">
      <c r="A17" t="s">
        <v>458</v>
      </c>
      <c r="B17">
        <f>COUNTIF(Req_Generales!F:F,"Asesor Russell Bedford")+COUNTIF(Req_Rubro!F:F,"Asesor Russell Bedford")+COUNTIF(Solicitud_61LA!F:F,"Asesor Russell Bedford")</f>
        <v>0</v>
      </c>
    </row>
    <row r="18" spans="1:2" x14ac:dyDescent="0.2">
      <c r="A18" t="s">
        <v>459</v>
      </c>
      <c r="B18">
        <f>COUNTIF(Req_Generales!F:F,"AGACE")+COUNTIF(Req_Rubro!F:F,"AGACE")+COUNTIF(Solicitud_61LA!F:F,"AGACE")</f>
        <v>0</v>
      </c>
    </row>
    <row r="19" spans="1:2" x14ac:dyDescent="0.2">
      <c r="A19" t="s">
        <v>460</v>
      </c>
      <c r="B19">
        <f>COUNTIF(Req_Generales!F:F,"Otro")+COUNTIF(Req_Rubro!F:F,"Otro")+COUNTIF(Solicitud_61LA!F:F,"Otro")</f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Dashboard</vt:lpstr>
      <vt:lpstr>Gantt</vt:lpstr>
      <vt:lpstr>Resumen</vt:lpstr>
      <vt:lpstr>Req_Generales</vt:lpstr>
      <vt:lpstr>Req_Rubro</vt:lpstr>
      <vt:lpstr>Solicitud_61LA</vt:lpstr>
      <vt:lpstr>Obligaciones</vt:lpstr>
      <vt:lpstr>Requerimiento</vt:lpstr>
      <vt:lpstr>Cancelacion</vt:lpstr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Sebastian Canseco</cp:lastModifiedBy>
  <dcterms:created xsi:type="dcterms:W3CDTF">2026-04-27T19:37:03Z</dcterms:created>
  <dcterms:modified xsi:type="dcterms:W3CDTF">2026-06-10T17:49:56Z</dcterms:modified>
</cp:coreProperties>
</file>