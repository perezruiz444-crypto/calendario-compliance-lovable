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Dashboard" sheetId="2" state="visible" r:id="rId4"/>
    <sheet name="Req_Generales" sheetId="3" state="visible" r:id="rId5"/>
    <sheet name="Req_Rubro" sheetId="4" state="visible" r:id="rId6"/>
    <sheet name="IMMEX_Obligaciones" sheetId="5" state="visible" r:id="rId7"/>
    <sheet name="IMMEX_Cancelacion" sheetId="6" state="visible" r:id="rId8"/>
    <sheet name="IMMEX_ActivoFijo" sheetId="7" state="visible" r:id="rId9"/>
    <sheet name="Obligaciones" sheetId="8" state="visible" r:id="rId10"/>
    <sheet name="Requerimiento" sheetId="9" state="visible" r:id="rId11"/>
    <sheet name="Cancelac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<sst xmlns="http://schemas.openxmlformats.org/spreadsheetml/2006/main" count="652" uniqueCount="376">
  <si>
    <t xml:space="preserve">Checklist de Certificación IVA e IEPS (CERTIVA)</t>
  </si>
  <si>
    <t xml:space="preserve">RGCE 2026 · DOF 27/12/2025 · Decreto IMMEX vigente</t>
  </si>
  <si>
    <t xml:space="preserve">DATOS DEL PROYECTO</t>
  </si>
  <si>
    <t xml:space="preserve">Empresa:</t>
  </si>
  <si>
    <t xml:space="preserve">RFC:</t>
  </si>
  <si>
    <t xml:space="preserve">Rubro CERTIVA:</t>
  </si>
  <si>
    <t xml:space="preserve">Fecha de inicio:</t>
  </si>
  <si>
    <t xml:space="preserve">Responsable RB:</t>
  </si>
  <si>
    <t xml:space="preserve">Fecha de renovación:</t>
  </si>
  <si>
    <t xml:space="preserve">Vigencia:</t>
  </si>
  <si>
    <t xml:space="preserve">NAVEGACIÓN RÁPIDA — Haz clic en cada sección</t>
  </si>
  <si>
    <t xml:space="preserve">📊 Dashboard</t>
  </si>
  <si>
    <t xml:space="preserve">✅ Req. Generales</t>
  </si>
  <si>
    <t xml:space="preserve">📋 Req. por Rubro</t>
  </si>
  <si>
    <t xml:space="preserve">⚙️ Obligaciones</t>
  </si>
  <si>
    <t xml:space="preserve">⚠️ Requerimiento</t>
  </si>
  <si>
    <t xml:space="preserve">HOJAS IMMEX (nuevas)</t>
  </si>
  <si>
    <t xml:space="preserve">📦 IMMEX Obligaciones</t>
  </si>
  <si>
    <t xml:space="preserve">❌ IMMEX Cancelación</t>
  </si>
  <si>
    <t xml:space="preserve">🏭 IMMEX Activo Fijo</t>
  </si>
  <si>
    <t xml:space="preserve">DASHBOARD — Certificación IVA e IEPS (CERTIVA)</t>
  </si>
  <si>
    <t xml:space="preserve">·  RGCE 2026 (DOF 27/12/2025)  ·  Actualización automática</t>
  </si>
  <si>
    <t xml:space="preserve">📋 TOTAL ÍTEMS</t>
  </si>
  <si>
    <t xml:space="preserve">✅ CUMPLIDOS</t>
  </si>
  <si>
    <t xml:space="preserve">⚠️ EN RIESGO</t>
  </si>
  <si>
    <t xml:space="preserve">⏳ PENDIENTES</t>
  </si>
  <si>
    <t xml:space="preserve">➖ N/A</t>
  </si>
  <si>
    <t xml:space="preserve">📊 % AVANCE</t>
  </si>
  <si>
    <t xml:space="preserve">AVANCE POR SECCIÓN</t>
  </si>
  <si>
    <t xml:space="preserve">Sección</t>
  </si>
  <si>
    <t xml:space="preserve">Total</t>
  </si>
  <si>
    <t xml:space="preserve">Cumplidos</t>
  </si>
  <si>
    <t xml:space="preserve">En riesgo</t>
  </si>
  <si>
    <t xml:space="preserve">Pendientes</t>
  </si>
  <si>
    <t xml:space="preserve">% Avance</t>
  </si>
  <si>
    <t xml:space="preserve">1. Requisitos Generales</t>
  </si>
  <si>
    <t xml:space="preserve">2. Requisitos por Rubro</t>
  </si>
  <si>
    <t xml:space="preserve">3. Obligaciones Permanentes</t>
  </si>
  <si>
    <t xml:space="preserve">4. Causas de Requerimiento</t>
  </si>
  <si>
    <t xml:space="preserve">5. Causas de Cancelación</t>
  </si>
  <si>
    <t xml:space="preserve">IMMEX — Obligaciones del Programa</t>
  </si>
  <si>
    <t xml:space="preserve">IMMEX — Causales de Cancelación</t>
  </si>
  <si>
    <t xml:space="preserve">IMMEX — Activo Fijo</t>
  </si>
  <si>
    <t xml:space="preserve">Pendiente</t>
  </si>
  <si>
    <t xml:space="preserve">Cumplido</t>
  </si>
  <si>
    <t xml:space="preserve">N/A</t>
  </si>
  <si>
    <t xml:space="preserve">Elaborado con base en RGCE DOF 27/12/2025 · Decreto IMMEX vigente</t>
  </si>
  <si>
    <t xml:space="preserve">1. REQUISITOS GENERALES — Regla 7.1.1</t>
  </si>
  <si>
    <t xml:space="preserve">Obtención y renovación del Registro en el Esquema de Certificación de Empresas · IVA e IEPS</t>
  </si>
  <si>
    <t xml:space="preserve">RGCE 2026 (DOF 27/12/2025)  ·  Decreto IMMEX vigente</t>
  </si>
  <si>
    <t xml:space="preserve">#</t>
  </si>
  <si>
    <t xml:space="preserve">Estatus</t>
  </si>
  <si>
    <t xml:space="preserve">Obligación / Requisito / Causal</t>
  </si>
  <si>
    <t xml:space="preserve">Referencia normativa</t>
  </si>
  <si>
    <t xml:space="preserve">Documento / Evidencia de cumplimiento</t>
  </si>
  <si>
    <t xml:space="preserve">Responsable</t>
  </si>
  <si>
    <t xml:space="preserve">Fecha de cumplimiento</t>
  </si>
  <si>
    <t xml:space="preserve">  1.1 Requisitos fiscales y legales</t>
  </si>
  <si>
    <t xml:space="preserve">Personas morales constituidas conforme a la legislación mexicana</t>
  </si>
  <si>
    <t xml:space="preserve">Regla 7.1.1 fracc. I</t>
  </si>
  <si>
    <t xml:space="preserve">Acta constitutiva</t>
  </si>
  <si>
    <t xml:space="preserve">Cliente</t>
  </si>
  <si>
    <t xml:space="preserve">Estar al corriente en obligaciones fiscales y aduaneras; autorizar al SAT para hacer pública la opinión positiva (Regla 2.1.24 RMF)</t>
  </si>
  <si>
    <t xml:space="preserve">7.1.1 fracc. II · CFF art. 32-D</t>
  </si>
  <si>
    <t xml:space="preserve">Opinión de cumplimiento positiva (SAT)</t>
  </si>
  <si>
    <t xml:space="preserve">Contar con certificados de sellos digitales vigentes y no ubicarse en supuestos del art. 17-H Bis CFF en los últimos 12 meses</t>
  </si>
  <si>
    <t xml:space="preserve">7.1.1 fracc. V · CFF art. 17-H Bis</t>
  </si>
  <si>
    <t xml:space="preserve">Certificados CSD vigentes</t>
  </si>
  <si>
    <t xml:space="preserve">No estar en listados SAT: art. 69 CFF (exc. fracc. VI), art. 69-B cuarto párrafo, art. 69-B Bis noveno párrafo</t>
  </si>
  <si>
    <t xml:space="preserve">7.1.1 fracc. IV · CFF arts. 69, 69-B, 69-B Bis</t>
  </si>
  <si>
    <t xml:space="preserve">Constancia de consulta en listados SAT</t>
  </si>
  <si>
    <t xml:space="preserve">Asesor</t>
  </si>
  <si>
    <t xml:space="preserve">No haberse emitido resolución de emisión de falsos comprobantes fiscales (art. 49 Bis CFF)</t>
  </si>
  <si>
    <t xml:space="preserve">7.1.1 fracc. XXI · CFF art. 49 Bis</t>
  </si>
  <si>
    <t xml:space="preserve">Socios, accionistas, representante legal e integrantes de administración al corriente en obligaciones fiscales</t>
  </si>
  <si>
    <t xml:space="preserve">7.1.1 fracc. XVI</t>
  </si>
  <si>
    <t xml:space="preserve">Opiniones positivas de socios/accionistas</t>
  </si>
  <si>
    <t xml:space="preserve">Socios/accionistas y administración no vinculados con empresa a quien se le canceló el registro (regla 7.2.4)</t>
  </si>
  <si>
    <t xml:space="preserve">7.1.1 fracc. XVII · Regla 7.2.4</t>
  </si>
  <si>
    <t xml:space="preserve">Ningún socio condenado por delitos que ameriten pena corporal</t>
  </si>
  <si>
    <t xml:space="preserve">7.1.1 fracc. XVIII</t>
  </si>
  <si>
    <t xml:space="preserve">Manifestación bajo protesta de decir verdad</t>
  </si>
  <si>
    <t xml:space="preserve">Sin sanciones administrativas por importación o exportación de mercancías</t>
  </si>
  <si>
    <t xml:space="preserve">7.1.1 fracc. XIX</t>
  </si>
  <si>
    <t xml:space="preserve">El SAT no haya interpuesto querella, denuncia penal o declaratoria de perjuicio contra socios/administración en los últimos 3 años</t>
  </si>
  <si>
    <t xml:space="preserve">7.1.1 fracc. XIII</t>
  </si>
  <si>
    <t xml:space="preserve">  1.2 Domicilios e infraestructura</t>
  </si>
  <si>
    <t xml:space="preserve">Tener registrados ante el SAT todos los domicilios vinculados al Programa IMMEX o actividades de comercio exterior</t>
  </si>
  <si>
    <t xml:space="preserve">7.1.1 fracc. VI · CFF art. 27</t>
  </si>
  <si>
    <t xml:space="preserve">Capturas de pantalla SAT — domicilios localizados</t>
  </si>
  <si>
    <t xml:space="preserve">Legal uso o goce del inmueble donde se realizan los procesos con vigencia forzosa mínima de 1 año y al menos 8 meses restantes a la solicitud</t>
  </si>
  <si>
    <t xml:space="preserve">7.1.1 fracc. XII</t>
  </si>
  <si>
    <t xml:space="preserve">Contrato de arrendamiento / título de propiedad</t>
  </si>
  <si>
    <t xml:space="preserve">Permitir en todo momento el acceso de la AGACE para visitas de inspección inicial y supervisión de cumplimiento</t>
  </si>
  <si>
    <t xml:space="preserve">7.1.1 fracc. IX</t>
  </si>
  <si>
    <t xml:space="preserve">No estar suspendido en el Padrón de Importadores, Padrón de Importadores de Sectores Específicos o Padrón de Exportadores Sectorial</t>
  </si>
  <si>
    <t xml:space="preserve">7.1.1 fracc. VIII</t>
  </si>
  <si>
    <t xml:space="preserve">Constancia de padrón activo</t>
  </si>
  <si>
    <t xml:space="preserve">  1.3 Clientes, proveedores y contabilidad</t>
  </si>
  <si>
    <t xml:space="preserve">Clientes y proveedores en el extranjero con operaciones de comercio exterior en los últimos 12 meses</t>
  </si>
  <si>
    <t xml:space="preserve">7.1.1 fracc. X</t>
  </si>
  <si>
    <t xml:space="preserve">Listado de clientes/proveedores extranjeros</t>
  </si>
  <si>
    <t xml:space="preserve">En su caso, proveedores de insumos en territorio nacional vinculados al proceso en los últimos 6 meses</t>
  </si>
  <si>
    <t xml:space="preserve">7.1.1 fracc. XI</t>
  </si>
  <si>
    <t xml:space="preserve">Listado de proveedores nacionales + opiniones positivas</t>
  </si>
  <si>
    <t xml:space="preserve">Llevar control de inventarios conforme al art. 59 fracc. I Ley Aduanera y Anexo 24 Apartado C</t>
  </si>
  <si>
    <t xml:space="preserve">7.1.1 fracc. XIV · LA art. 59</t>
  </si>
  <si>
    <t xml:space="preserve">Comprobante de Anexo 24 (SCCCyG)</t>
  </si>
  <si>
    <t xml:space="preserve">Llevar contabilidad en medios electrónicos e ingresarla mensualmente al Portal SAT (CFF arts. 28 fracc. III y IV; RMF 2.8.1.5 y 2.8.1.6)</t>
  </si>
  <si>
    <t xml:space="preserve">7.1.1 fracc. XV</t>
  </si>
  <si>
    <t xml:space="preserve">Contar con buzón tributario actualizado — estatus 'Validado' (CFF art. 17-K)</t>
  </si>
  <si>
    <t xml:space="preserve">7.1.1 fracc. VII · CFF art. 17-K</t>
  </si>
  <si>
    <t xml:space="preserve">Haber realizado el pago de derechos art. 40 inciso m) LFD — $40,267.00 mediante e5cinco (Anexo 4 RMF 2026)</t>
  </si>
  <si>
    <t xml:space="preserve">7.1.1 fracc. XX · LFD art. 40</t>
  </si>
  <si>
    <t xml:space="preserve">Comprobante e5cinco ($40,267.00)</t>
  </si>
  <si>
    <t xml:space="preserve">  1.4 Personal e IMSS</t>
  </si>
  <si>
    <t xml:space="preserve">Personal registrado ante el IMSS para el proceso productivo/servicio; al corriente en cuotas obrero-patronales; retener y enterar ISR de trabajadores</t>
  </si>
  <si>
    <t xml:space="preserve">7.1.1 fracc. III · ISR art. 27</t>
  </si>
  <si>
    <t xml:space="preserve">Constancias IMSS/SUA último bimestre + declaración ISR retenciones</t>
  </si>
  <si>
    <t xml:space="preserve">En caso de subcontratación de servicios especializados, cumplir con art. 27 fracc. V tercer párrafo de la Ley del ISR</t>
  </si>
  <si>
    <t xml:space="preserve">7.1.1 fracc. III · ISR art. 27 fracc. V</t>
  </si>
  <si>
    <t xml:space="preserve">Documentación de subcontratación especializada</t>
  </si>
  <si>
    <t xml:space="preserve">2. REQUISITOS POR RUBRO — Reglas 7.1.2 y 7.1.3</t>
  </si>
  <si>
    <t xml:space="preserve">Rubro A · Rubro AA · Rubro AAA</t>
  </si>
  <si>
    <t xml:space="preserve">  Rubro A — Regla 7.1.2  (incluye todos los requisitos de la Regla 7.1.1)</t>
  </si>
  <si>
    <t xml:space="preserve">Presentar solicitud mediante ficha de trámite 61/LA (Anexo 2)</t>
  </si>
  <si>
    <t xml:space="preserve">7.1.2 fracc. I</t>
  </si>
  <si>
    <t xml:space="preserve">Mínimo 10 trabajadores registrados ante el IMSS y pago total de cuotas obrero-patronales</t>
  </si>
  <si>
    <t xml:space="preserve">7.1.2 fracc. II</t>
  </si>
  <si>
    <t xml:space="preserve">Acreditar inversión en territorio nacional</t>
  </si>
  <si>
    <t xml:space="preserve">7.1.2 fracc. III</t>
  </si>
  <si>
    <t xml:space="preserve">Si anteriormente tuvo el registro o garantizó el interés fiscal, estar al corriente con obligaciones del Anexo 30 (SCCCyG)</t>
  </si>
  <si>
    <t xml:space="preserve">7.1.2 fracc. IV · Anexo 30</t>
  </si>
  <si>
    <t xml:space="preserve">Proveedores no incluidos en listados SAT arts. 49 Bis fracc. X o 69-B cuarto párrafo CFF</t>
  </si>
  <si>
    <t xml:space="preserve">7.1.2 fracc. V</t>
  </si>
  <si>
    <t xml:space="preserve">Contar con Programa IMMEX vigente</t>
  </si>
  <si>
    <t xml:space="preserve">7.1.2 Apt. A, fracc. I</t>
  </si>
  <si>
    <t xml:space="preserve">Infraestructura suficiente para realizar la operación del Programa IMMEX conforme a su modalidad</t>
  </si>
  <si>
    <t xml:space="preserve">7.1.2 Apt. A, fracc. II</t>
  </si>
  <si>
    <t xml:space="preserve">Haber importado temporalmente y retornado en los últimos 12 meses: ≥60% del valor total de importaciones temporales de insumos</t>
  </si>
  <si>
    <t xml:space="preserve">7.1.2 Apt. A, fracc. III</t>
  </si>
  <si>
    <t xml:space="preserve">Describir actividades del proceso productivo desde el arribo, almacenamiento, proceso y retorno de mercancías</t>
  </si>
  <si>
    <t xml:space="preserve">7.1.2 Apt. A, fracc. IV</t>
  </si>
  <si>
    <t xml:space="preserve">Contrato de maquila, compraventa, orden de compra, servicios o pedidos en firme que acrediten continuidad del proyecto de exportación</t>
  </si>
  <si>
    <t xml:space="preserve">7.1.2 Apt. A, fracc. V</t>
  </si>
  <si>
    <t xml:space="preserve">  Rubro AA — Regla 7.1.3  (incluye todos los requisitos del Rubro A)</t>
  </si>
  <si>
    <t xml:space="preserve">≥4 años operando bajo el régimen solicitado, O promedio &gt;1,000 trabajadores en los últimos 12 meses, O maquinaria y equipo con valor &gt;$50,000,000 pesos</t>
  </si>
  <si>
    <t xml:space="preserve">7.1.3 fracc. I inciso a)</t>
  </si>
  <si>
    <t xml:space="preserve">Sin crédito fiscal notificado por el SAT en los últimos 12 meses (o garantizado conforme art. 141 CFF / pago a plazos sin exceder 12 meses)</t>
  </si>
  <si>
    <t xml:space="preserve">7.1.3 fracc. I inciso b)</t>
  </si>
  <si>
    <t xml:space="preserve">Sin resolución de improcedencia de devolución IVA &gt;20% del total autorizado y/o monto negado &gt;$5,000,000 pesos en los últimos 6 meses</t>
  </si>
  <si>
    <t xml:space="preserve">7.1.3 fracc. I inciso c)</t>
  </si>
  <si>
    <t xml:space="preserve">  Rubro AAA — Regla 7.1.3  (incluye todos los requisitos del Rubro AA)</t>
  </si>
  <si>
    <t xml:space="preserve">≥7 años operando bajo el régimen solicitado, O promedio &gt;2,500 trabajadores en los últimos 12 meses, O maquinaria y equipo con valor &gt;$100,000,000 pesos</t>
  </si>
  <si>
    <t xml:space="preserve">7.1.3 fracc. II inciso a)</t>
  </si>
  <si>
    <t xml:space="preserve">Sin crédito fiscal notificado por el SAT en los últimos 24 meses (o garantizado conforme art. 141 CFF)</t>
  </si>
  <si>
    <t xml:space="preserve">7.1.3 fracc. II inciso b)</t>
  </si>
  <si>
    <t xml:space="preserve">7.1.3 fracc. II inciso c)</t>
  </si>
  <si>
    <t xml:space="preserve">IMMEX — OBLIGACIONES DEL PROGRAMA  (Arts. 24, 25 · Decreto IMMEX · Regla 4.3.1 RGCE)</t>
  </si>
  <si>
    <t xml:space="preserve">Obligaciones de operación y reportes periódicos durante la vigencia del Programa IMMEX</t>
  </si>
  <si>
    <t xml:space="preserve">Decreto IMMEX vigente  ·  RGCE 2026 (DOF 27/12/2025)</t>
  </si>
  <si>
    <t xml:space="preserve">Obligación / Causal / Verificación</t>
  </si>
  <si>
    <t xml:space="preserve">Fundamento legal</t>
  </si>
  <si>
    <t xml:space="preserve">Acción requerida / Documento</t>
  </si>
  <si>
    <t xml:space="preserve">  Obligaciones de operación — Art. 24 Decreto IMMEX</t>
  </si>
  <si>
    <t xml:space="preserve">Realizar anualmente ventas al exterior por valor superior a USD $500,000 o facturar exportaciones cuando menos por el 10% de su facturación total</t>
  </si>
  <si>
    <t xml:space="preserve">Art. 24 Fracc. I
Decreto IMMEX</t>
  </si>
  <si>
    <t xml:space="preserve">Verificar cifras de exportación del ejercicio anterior</t>
  </si>
  <si>
    <t xml:space="preserve">Cumplir con lo establecido en el Programa que les fue autorizado</t>
  </si>
  <si>
    <t xml:space="preserve">Art. 24 Fracc. II
Decreto IMMEX</t>
  </si>
  <si>
    <t xml:space="preserve">Revisar que las operaciones correspondan al objeto del programa autorizado</t>
  </si>
  <si>
    <t xml:space="preserve">Retornar las mercancías en los plazos autorizados: 18 meses (insumos, materias primas, envases, etiquetas); 2 años (contenedores y cajas de trailer); vigencia del programa (maquinaria, equipo, herramientas, moldes, refacciones, equipo administrativo); 6 meses (mercancías sujetas a transferencia virtual)</t>
  </si>
  <si>
    <t xml:space="preserve">Art. 24 Fracc. V
Art. 4
Decreto IMMEX</t>
  </si>
  <si>
    <t xml:space="preserve">Verificar que todos los pedimentos temporales hayan sido retornados, transferidos o con cambio de régimen dentro del plazo</t>
  </si>
  <si>
    <t xml:space="preserve">Mantener las mercancías importadas temporalmente en el o los domicilios registrados en el Programa</t>
  </si>
  <si>
    <t xml:space="preserve">Art. 24 Fracc. VI
Decreto IMMEX</t>
  </si>
  <si>
    <t xml:space="preserve">Adjuntar acuses de alta de domicilio y confirmar que no existe otro domicilio al que llegue mercancía IMMEX</t>
  </si>
  <si>
    <t xml:space="preserve">Solicitar a la SE el registro de cambios en datos manifestados en la solicitud: razón social, RFC, domicilio fiscal (con al menos 3 días hábiles de anticipación al traslado de mercancías)</t>
  </si>
  <si>
    <t xml:space="preserve">Art. 24 Fracc. VII
Decreto IMMEX</t>
  </si>
  <si>
    <t xml:space="preserve">Indicar si la empresa ha tenido cambios. De ser así, adjuntar escritos enviados a la SE</t>
  </si>
  <si>
    <t xml:space="preserve">Notificar a la SE los cambios de socios, accionistas o representante legal</t>
  </si>
  <si>
    <t xml:space="preserve">Art. 24 Fracc. VIII
Decreto IMMEX</t>
  </si>
  <si>
    <t xml:space="preserve">Indicar si ha habido cambios de socios, accionistas o representante legal desde 2018. De ser así, adjuntar el aviso correspondiente</t>
  </si>
  <si>
    <t xml:space="preserve">Llevar el control de inventarios en forma automatizada, conforme a las Reglas de Carácter General (Anexo 24)</t>
  </si>
  <si>
    <t xml:space="preserve">Art. 24 Fracc. IX
Decreto IMMEX
Regla 4.3.1 RGCE</t>
  </si>
  <si>
    <t xml:space="preserve">Adjuntar comprobante que acredite que se cuenta con el Anexo 24 y confirmar que se cuenta con la información del Apartado A</t>
  </si>
  <si>
    <t xml:space="preserve">  Reportes periódicos — Arts. 25 y Regla 3.2.17</t>
  </si>
  <si>
    <t xml:space="preserve">Presentar reporte anual electrónico a la SE del total de ventas y exportaciones del ejercicio anterior, a más tardar el último día hábil de mayo</t>
  </si>
  <si>
    <t xml:space="preserve">Art. 25 Primer párrafo
Decreto IMMEX</t>
  </si>
  <si>
    <t xml:space="preserve">Verificar que se haya presentado el reporte anual del ejercicio anterior</t>
  </si>
  <si>
    <t xml:space="preserve">Presentar información estadística al INEGI mensualmente (dentro de los primeros 20 días naturales del mes siguiente) o anualmente (dentro de los 30 días posteriores a la notificación del INEGI)</t>
  </si>
  <si>
    <t xml:space="preserve">Art. 25 Quinto párrafo
Regla 3.2.17 Acuerdo SE</t>
  </si>
  <si>
    <t xml:space="preserve">Confirmar que se presenta la información al INEGI conforme al calendario establecido</t>
  </si>
  <si>
    <t xml:space="preserve">IMMEX — CAUSALES DE CANCELACIÓN DEL PROGRAMA  (Art. 27 · Decreto IMMEX)</t>
  </si>
  <si>
    <t xml:space="preserve">Situaciones que pueden derivar en la cancelación definitiva del Programa IMMEX</t>
  </si>
  <si>
    <t xml:space="preserve">Causal de cancelación</t>
  </si>
  <si>
    <t xml:space="preserve">  Causales de cancelación del Programa IMMEX — Art. 27 Decreto IMMEX + Regla 3.2.9 Acuerdo SE</t>
  </si>
  <si>
    <t xml:space="preserve">  ℹ️  La cancelación del Programa IMMEX también puede desencadenar la cancelación del registro CERTIVA (Regla 7.2.4 Apt. B fracc. I). Es crítico monitorear estas causales.</t>
  </si>
  <si>
    <t xml:space="preserve">Incumplimiento de alguna de las obligaciones previstas en el Decreto IMMEX</t>
  </si>
  <si>
    <t xml:space="preserve">Art. 27 Fracc. I
Decreto IMMEX</t>
  </si>
  <si>
    <t xml:space="preserve">Verificar que todas las obligaciones del Art. 24 y 25 estén cumplidas</t>
  </si>
  <si>
    <t xml:space="preserve">Para efectos del Art. 27 Fracc. I, se considera plenamente acreditado el incumplimiento cuando el beneficiario haya retornado, transferido la mercancía o efectuado el cambio de régimen de importación temporal a definitiva, fuera del plazo previsto en las normas aplicables</t>
  </si>
  <si>
    <t xml:space="preserve">Regla 3.2.9
Acuerdo SE</t>
  </si>
  <si>
    <t xml:space="preserve">Confirmar que no se han retornado o transferido mercancías fuera del plazo autorizado</t>
  </si>
  <si>
    <t xml:space="preserve">No contar con documentación que ampare sus operaciones o no acreditar la legal estancia/tenencia de mercancías de procedencia extranjera, y el crédito fiscal determinado sea mayor a $400,000; o cuando el valor de las mercancías sin acreditar supere el 5% del valor total importado temporalmente en el semestre anterior</t>
  </si>
  <si>
    <t xml:space="preserve">Art. 27 Fracc. II
Decreto IMMEX</t>
  </si>
  <si>
    <t xml:space="preserve">Confirmar que toda mercancía de procedencia extranjera cuenta con documentación aduanera que acredite su legal estancia</t>
  </si>
  <si>
    <t xml:space="preserve">No ser localizable en el domicilio fiscal o en los domicilios registrados en el Programa, o que dichos domicilios estén en supuesto de no localizados o inexistentes</t>
  </si>
  <si>
    <t xml:space="preserve">Art. 27 Fracc. III
Decreto IMMEX</t>
  </si>
  <si>
    <t xml:space="preserve">Adjuntar capturas de pantalla del SAT que muestren los domicilios como localizados</t>
  </si>
  <si>
    <t xml:space="preserve">No encontrarse las mercancías importadas temporalmente en los domicilios registrados ante el SAT, hasta por un monto equivalente al establecido en el Art. 102 tercer párrafo del CFF</t>
  </si>
  <si>
    <t xml:space="preserve">Art. 27 Fracc. IV
Decreto IMMEX</t>
  </si>
  <si>
    <t xml:space="preserve">Confirmar que las mercancías IMMEX se encuentran en los domicilios autorizados</t>
  </si>
  <si>
    <t xml:space="preserve">Que el SAT determine que las mercancías importadas temporalmente no ingresaron físicamente al país de destino o no se presentaron físicamente en la aduana de salida al extranjero, una vez tramitado el pedimento de exportación o retorno</t>
  </si>
  <si>
    <t xml:space="preserve">Art. 27 Fracc. V
Decreto IMMEX</t>
  </si>
  <si>
    <t xml:space="preserve">Confirmar que las mercancías hayan ingresado físicamente al país destino y se presentaron ante aduana</t>
  </si>
  <si>
    <t xml:space="preserve">Presentar documentación falsa, alterada o con datos falsos; o que el nombre/domicilio del proveedor, destinatario o comprador en pedimentos o facturas sean falsos, inexistentes o no localizados</t>
  </si>
  <si>
    <t xml:space="preserve">Art. 27 Fracc. VI
Decreto IMMEX</t>
  </si>
  <si>
    <t xml:space="preserve">Confirmar que no se ha presentado documentación falsa, alterada o con datos falsos</t>
  </si>
  <si>
    <t xml:space="preserve">Presentar aviso de cancelación en el RFC o no presentar la declaración anual de los impuestos federales por los que se encuentre obligada</t>
  </si>
  <si>
    <t xml:space="preserve">Art. 27 Fracc. VII
Decreto IMMEX</t>
  </si>
  <si>
    <t xml:space="preserve">Confirmar que no se tenga aviso de cancelación en el RFC. Adjuntar comprobante de declaraciones anuales presentadas</t>
  </si>
  <si>
    <t xml:space="preserve">Que la autoridad determine que sus socios y/o accionistas se encuentran vinculados con alguna empresa a la que se le hubiera cancelado su Programa</t>
  </si>
  <si>
    <t xml:space="preserve">Art. 27 Fracc. VIII
Decreto IMMEX</t>
  </si>
  <si>
    <t xml:space="preserve">Confirmar que los socios y accionistas no están vinculados con empresa a la que se haya cancelado su programa</t>
  </si>
  <si>
    <t xml:space="preserve">No acreditar que se realizó la entrega física de las mercancías importadas temporalmente derivado de operaciones de transferencias y/o avisos de submaquila</t>
  </si>
  <si>
    <t xml:space="preserve">Art. 27 Fracc. IX
Decreto IMMEX</t>
  </si>
  <si>
    <t xml:space="preserve">Confirmar que se haya acreditado la entrega física de las mercancías en todas las operaciones de transferencia</t>
  </si>
  <si>
    <t xml:space="preserve">IMMEX — ACTIVO FIJO  (Arts. 36-A, 146 LA · Art. 24 Decreto IMMEX · Anexo 24 RGCE)</t>
  </si>
  <si>
    <t xml:space="preserve">Obligaciones específicas para el control y legal estancia del activo fijo importado temporalmente</t>
  </si>
  <si>
    <t xml:space="preserve">  Definición y tipos de activo fijo importado temporalmente</t>
  </si>
  <si>
    <t xml:space="preserve">  ℹ️  La importación temporal de activo fijo es por la vigencia del Programa IMMEX. Incluye: maquinaria, equipo, herramientas, instrumentos, moldes, refacciones, equipo de control ambiental, TI, laboratorio, calidad y equipo administrativo.</t>
  </si>
  <si>
    <t xml:space="preserve">Para mercancías susceptibles de identificación individual: declarar en el pedimento los números de serie, parte, marca, modelo o especificaciones técnicas necesarias para identificarlas y distinguirlas de otras similares</t>
  </si>
  <si>
    <t xml:space="preserve">Art. 36-A
Ley Aduanera</t>
  </si>
  <si>
    <t xml:space="preserve">Adjuntar comprobante en caso de contar con mercancías susceptibles de identificación individual</t>
  </si>
  <si>
    <t xml:space="preserve">La tenencia, transporte o manejo de mercancías de procedencia extranjera deberá ampararse en todo momento con: (I) documentación aduanera de legal importación, (II) nota de venta expedida por autoridad fiscal o institución autorizada, o (III) CFDI que reúna los requisitos del CFF</t>
  </si>
  <si>
    <t xml:space="preserve">Art. 146
Ley Aduanera</t>
  </si>
  <si>
    <t xml:space="preserve">Adjuntar documentación comprobatoria conforme a la fracción I, II o III según corresponda para cada activo</t>
  </si>
  <si>
    <t xml:space="preserve">Mantener los activos fijos importados temporalmente en los domicilios registrados en el Programa IMMEX</t>
  </si>
  <si>
    <t xml:space="preserve">Confirmar la legal estancia de los activos en los domicilios autorizados</t>
  </si>
  <si>
    <t xml:space="preserve">Llevar el control de inventarios de activo fijo en forma automatizada y permanente conforme al Módulo de Activo Fijo del Anexo 24, que debe incluir: descripción con marca y modelo (maquinaria/equipo); número y fecha de pedimento; clave del pedimento; movimientos de importación, exportación, retorno, transferencia, donación, destrucción y cambios de régimen</t>
  </si>
  <si>
    <t xml:space="preserve">Art. 24 Fracc. IX
Decreto IMMEX
Regla 4.3.1 RGCE
Anexo 24</t>
  </si>
  <si>
    <t xml:space="preserve">Revisar que el sistema de inventarios cuente con el Módulo de Activo Fijo con toda la información requerida. Adjuntar reporte del módulo</t>
  </si>
  <si>
    <t xml:space="preserve">  Verificación de plazos de retorno — Activo fijo</t>
  </si>
  <si>
    <t xml:space="preserve">Verificar que los activos fijos importados temporalmente que ya no se utilizan en el proceso productivo hayan sido retornados al extranjero, transferidos o su régimen cambiado, antes del vencimiento del Programa IMMEX</t>
  </si>
  <si>
    <t xml:space="preserve">Art. 24 Fracc. V
Art. 4 Decreto IMMEX</t>
  </si>
  <si>
    <t xml:space="preserve">Cruzar el inventario de activo fijo con los pedimentos de retorno/transferencia para identificar activos sin descargo</t>
  </si>
  <si>
    <t xml:space="preserve">Verificar que los activos fijos dados de baja (donación o destrucción) cuenten con los avisos correspondientes transmitidos al SCCCyG</t>
  </si>
  <si>
    <t xml:space="preserve">Regla 7.2.1 párr. II fracc. IV
Anexo 30</t>
  </si>
  <si>
    <t xml:space="preserve">Adjuntar acuses de transmisión de avisos de donación y destrucción en el SCCCyG</t>
  </si>
  <si>
    <t xml:space="preserve">3. OBLIGACIONES PERMANENTES — Regla 7.2.1 + Decreto IMMEX</t>
  </si>
  <si>
    <t xml:space="preserve">Obligaciones de cumplimiento continuo durante la vigencia del registro</t>
  </si>
  <si>
    <t xml:space="preserve">  3.1 Obligaciones generales — todos los registros (Regla 7.2.1)</t>
  </si>
  <si>
    <t xml:space="preserve">Cumplir permanentemente con los requisitos del rubro otorgado</t>
  </si>
  <si>
    <t xml:space="preserve">7.2.1 fracc. I</t>
  </si>
  <si>
    <t xml:space="preserve">Estar permanentemente al corriente en obligaciones fiscales y aduaneras</t>
  </si>
  <si>
    <t xml:space="preserve">7.2.1 fracc. II</t>
  </si>
  <si>
    <t xml:space="preserve">Dar aviso de cambio en el documento de legal uso y goce del inmueble (vigencia, partes, domicilio) mediante ficha 62/LA</t>
  </si>
  <si>
    <t xml:space="preserve">7.2.1 fracc. VIII</t>
  </si>
  <si>
    <t xml:space="preserve">Adjuntar avisos correspondientes CERTIVA sobre los inmuebles</t>
  </si>
  <si>
    <t xml:space="preserve">Presentar aviso previo al menos 1 mes antes de introducir mercancías adicionales a las declaradas, mediante ficha 62/LA</t>
  </si>
  <si>
    <t xml:space="preserve">7.2.1 fracc. X</t>
  </si>
  <si>
    <t xml:space="preserve">Adjuntar aviso de fracciones presentados</t>
  </si>
  <si>
    <t xml:space="preserve">Permitir en todo momento el acceso de la autoridad aduanera para inspecciones de supervisión de cumplimiento</t>
  </si>
  <si>
    <t xml:space="preserve">7.2.1 fracc. VII</t>
  </si>
  <si>
    <t xml:space="preserve">En caso de fusión/escisión: dar aviso ante la AGACE dentro de los 10 días posteriores a la inscripción en el Registro Público de Comercio — ficha 62/LA</t>
  </si>
  <si>
    <t xml:space="preserve">7.2.1 fracc. V</t>
  </si>
  <si>
    <t xml:space="preserve">Confirmar que no existe fusión o escisión</t>
  </si>
  <si>
    <t xml:space="preserve">  3.2 Obligaciones específicas — Modalidad IVA e IEPS (Rubros A, AA y AAA)</t>
  </si>
  <si>
    <t xml:space="preserve">Reportar mensualmente a la AGACE (mes siguiente) modificaciones de socios, accionistas, representante legal, clientes y proveedores extranjeros, y proveedores nacionales</t>
  </si>
  <si>
    <t xml:space="preserve">7.2.1 segundo párrafo fracc. I</t>
  </si>
  <si>
    <t xml:space="preserve">Adjuntar aviso en caso de haber modificaciones de socios, accionistas, representante legal, proveedores y clientes</t>
  </si>
  <si>
    <t xml:space="preserve">Acreditar continuidad del legal uso y goce del inmueble para los procesos productivos</t>
  </si>
  <si>
    <t xml:space="preserve">7.2.1 segundo párrafo fracc. II</t>
  </si>
  <si>
    <t xml:space="preserve">Adjuntar legal uso y estancia del inmueble (contrato de arrendamiento o compraventa)</t>
  </si>
  <si>
    <t xml:space="preserve">Estar permanentemente al corriente en el pago de cuotas obrero-patronales ante el IMSS</t>
  </si>
  <si>
    <t xml:space="preserve">7.2.1 segundo párrafo fracc. III</t>
  </si>
  <si>
    <t xml:space="preserve">Confirmar con área de Finanzas</t>
  </si>
  <si>
    <t xml:space="preserve">Transmitir electrónicamente (Anexo 30 / Portal SAT) informes de descargo: retornos, cambios de régimen, transferencias virtuales, extracciones, regularizaciones, donaciones y destrucciones en el SCCCyG</t>
  </si>
  <si>
    <t xml:space="preserve">7.2.1 segundo párrafo fracc. IV · Anexo 30</t>
  </si>
  <si>
    <t xml:space="preserve">Confirmar que se transmite — estatus 'válido' en SCCCyG</t>
  </si>
  <si>
    <t xml:space="preserve">Transmitir inventario de mercancías y/o activo fijo pendiente de retorno en un plazo máximo de 30 días naturales posteriores a la fecha de certificación</t>
  </si>
  <si>
    <t xml:space="preserve">7.2.1 segundo párrafo fracc. IV (inv.)</t>
  </si>
  <si>
    <t xml:space="preserve">Confirmar que fue transmitido</t>
  </si>
  <si>
    <t xml:space="preserve">4. CAUSAS DE REQUERIMIENTO — Regla 7.2.2</t>
  </si>
  <si>
    <t xml:space="preserve">Situaciones que activan un requerimiento de la AGACE</t>
  </si>
  <si>
    <t xml:space="preserve">  4.1 Causas generales — todos los registros (Regla 7.2.2)</t>
  </si>
  <si>
    <t xml:space="preserve">  ℹ️  La AGACE otorga 20 días hábiles para subsanar o desvirtuar. Si no se subsana, se inicia el procedimiento de cancelación. La AGACE tiene 6 meses para emitir resolución.</t>
  </si>
  <si>
    <t xml:space="preserve">La empresa no está al corriente en el cumplimiento de obligaciones fiscales</t>
  </si>
  <si>
    <t xml:space="preserve">7.2.2 fracc. I inciso a)</t>
  </si>
  <si>
    <t xml:space="preserve">Incumplimiento de la obligación de retener y enterar el ISR de trabajadores</t>
  </si>
  <si>
    <t xml:space="preserve">7.2.2 fracc. I inciso b)</t>
  </si>
  <si>
    <t xml:space="preserve">Adjuntar última declaración de retención de ISR</t>
  </si>
  <si>
    <t xml:space="preserve">Ubicarse en los listados del SAT: art. 69 CFF (exc. fracc. VI), art. 69-B cuarto párrafo, o art. 69-B Bis noveno párrafo</t>
  </si>
  <si>
    <t xml:space="preserve">7.2.2 fracc. I inciso c)</t>
  </si>
  <si>
    <t xml:space="preserve">Confirmar con Finanzas que ningún proveedor se encuentra en listados 69, 69-B y 69-B Bis</t>
  </si>
  <si>
    <t xml:space="preserve">Ubicarse en causales del art. 17-H Bis del CFF (restricción de sellos digitales)</t>
  </si>
  <si>
    <t xml:space="preserve">7.2.2 fracc. I inciso d)</t>
  </si>
  <si>
    <t xml:space="preserve">Confirmar con Finanzas</t>
  </si>
  <si>
    <t xml:space="preserve">Dejar de cumplir con las obligaciones establecidas en la regla 7.2.1</t>
  </si>
  <si>
    <t xml:space="preserve">7.2.2 fracc. I inciso e)</t>
  </si>
  <si>
    <t xml:space="preserve">No haber realizado el pago de derechos anual o por renovación (art. 40 inciso m) LFD, esquema e5cinco)</t>
  </si>
  <si>
    <t xml:space="preserve">7.2.2 fracc. I inciso f)</t>
  </si>
  <si>
    <t xml:space="preserve">Adjuntar pago de derechos y última renovación</t>
  </si>
  <si>
    <t xml:space="preserve">Haberse emitido y notificado resolución de emisión de falsos comprobantes fiscales (art. 49 Bis CFF)</t>
  </si>
  <si>
    <t xml:space="preserve">7.2.2 fracc. I inciso g)</t>
  </si>
  <si>
    <t xml:space="preserve">  4.2 Causas específicas — Rubros A, AA y AAA</t>
  </si>
  <si>
    <t xml:space="preserve">Socios, accionistas, representante legal o administración no al corriente en obligaciones fiscales</t>
  </si>
  <si>
    <t xml:space="preserve">7.2.2 fracc. II inciso a)</t>
  </si>
  <si>
    <t xml:space="preserve">Adjuntar última acta de asamblea y opinión positiva de socios/accionistas</t>
  </si>
  <si>
    <t xml:space="preserve">Personal insuficiente, no registrado en IMSS, no al corriente en cuotas o sin retención/entero de ISR; en subcontratación, omisión art. 27 fracc. V Ley ISR</t>
  </si>
  <si>
    <t xml:space="preserve">7.2.2 fracc. II inciso b)</t>
  </si>
  <si>
    <t xml:space="preserve">Proveedores nacionales de insumos no al corriente en obligaciones fiscales</t>
  </si>
  <si>
    <t xml:space="preserve">7.2.2 fracc. II inciso c)</t>
  </si>
  <si>
    <t xml:space="preserve">Adjuntar Excel de aviso presentado en CERTIVA y opiniones positivas de proveedores</t>
  </si>
  <si>
    <t xml:space="preserve">Dejar de acreditar el legal uso y goce del inmueble para los procesos productivos</t>
  </si>
  <si>
    <t xml:space="preserve">7.2.2 fracc. II inciso d)</t>
  </si>
  <si>
    <t xml:space="preserve">Rubro AA o AAA: determinación y notificación de un crédito fiscal</t>
  </si>
  <si>
    <t xml:space="preserve">7.2.2 fracc. II inciso e)</t>
  </si>
  <si>
    <t xml:space="preserve">Resoluciones de improcedencia de devolución de IVA &gt;20% del total autorizado y/o monto negado &gt;$5,000,000 pesos en los últimos 6 meses</t>
  </si>
  <si>
    <t xml:space="preserve">7.2.2 fracc. II inciso f)</t>
  </si>
  <si>
    <t xml:space="preserve">No transmisión del informe de inventario existente o inicial, o de informes de descargo conforme al Anexo 30</t>
  </si>
  <si>
    <t xml:space="preserve">7.2.2 fracc. II inciso g)</t>
  </si>
  <si>
    <t xml:space="preserve">Control de inventarios no conforme al art. 59 fracc. I Ley Aduanera y disposiciones del SAT</t>
  </si>
  <si>
    <t xml:space="preserve">7.2.2 fracc. II inciso h)</t>
  </si>
  <si>
    <t xml:space="preserve">Proveedores en listados SAT: art. 49 Bis fracc. X o art. 69-B cuarto párrafo CFF</t>
  </si>
  <si>
    <t xml:space="preserve">7.2.2 fracc. II inciso i)</t>
  </si>
  <si>
    <t xml:space="preserve">5. CAUSAS DE CANCELACIÓN Y SUSPENSIÓN — Regla 7.2.4</t>
  </si>
  <si>
    <t xml:space="preserve">Situaciones que pueden derivar en la cancelación o suspensión del registro CERTIVA</t>
  </si>
  <si>
    <t xml:space="preserve">  5.1 Causales generales — Apartado A (Rubros A, AA, AAA y Socio Comercial)</t>
  </si>
  <si>
    <t xml:space="preserve">  ℹ️  La AGACE notifica el inicio del procedimiento; el contribuyente tiene 10 días para ofrecer pruebas y alegatos. La resolución debe emitirse en ≤4 meses. Los cancelados no podrán obtener el registro durante 2 años.</t>
  </si>
  <si>
    <t xml:space="preserve">No desvirtuar las inconsistencias que generaron un requerimiento (regla 7.2.2)</t>
  </si>
  <si>
    <t xml:space="preserve">7.2.4 Apt. A, fracc. I</t>
  </si>
  <si>
    <t xml:space="preserve">No presentar los avisos establecidos en la regla 7.2.1</t>
  </si>
  <si>
    <t xml:space="preserve">7.2.4 Apt. A, fracc. II</t>
  </si>
  <si>
    <t xml:space="preserve">No acreditar durante la inspección de supervisión que se cuenta con la infraestructura necesaria para las actividades autorizadas</t>
  </si>
  <si>
    <t xml:space="preserve">7.2.4 Apt. A, fracc. III</t>
  </si>
  <si>
    <t xml:space="preserve">No llevar el sistema de control de inventarios de forma automatizada</t>
  </si>
  <si>
    <t xml:space="preserve">7.2.4 Apt. A, fracc. IV</t>
  </si>
  <si>
    <t xml:space="preserve">Presentar o declarar documentación o información falsa, alterada o con datos falsos en cualquier trámite o en operaciones de comercio exterior</t>
  </si>
  <si>
    <t xml:space="preserve">7.2.4 Apt. A, fracc. V</t>
  </si>
  <si>
    <t xml:space="preserve">El SAT interponga querella, denuncia penal o declaratoria de perjuicio contra socios, accionistas, representante legal o integrantes de la administración</t>
  </si>
  <si>
    <t xml:space="preserve">7.2.4 Apt. A, fracc. VI</t>
  </si>
  <si>
    <t xml:space="preserve">Contribuyente no localizado en domicilio fiscal o establecimientos no localizados/inexistentes</t>
  </si>
  <si>
    <t xml:space="preserve">7.2.4 Apt. A, fracc. VII</t>
  </si>
  <si>
    <t xml:space="preserve">Adjuntar capturas SAT mostrando domicilios localizados</t>
  </si>
  <si>
    <t xml:space="preserve">Importar temporalmente mercancías del Anexo II del Decreto IMMEX sin autorización, o importar fracciones que no corresponden al proceso productivo</t>
  </si>
  <si>
    <t xml:space="preserve">7.2.4 Apt. A, fracc. VIII</t>
  </si>
  <si>
    <t xml:space="preserve">Socios/accionistas, representante legal o administración vinculados con empresa a quien se le canceló el registro (fracc. V, VI, VII Apt. A o II, III Apt. B)</t>
  </si>
  <si>
    <t xml:space="preserve">7.2.4 Apt. A, fracc. IX</t>
  </si>
  <si>
    <t xml:space="preserve">Confirmar que los socios no están vinculados a lo establecido en este artículo</t>
  </si>
  <si>
    <t xml:space="preserve">Nombre o domicilio del proveedor/productor, destinatario o comprador en pedimentos, CFDI o información proporcionada sean falsos, inexistentes o no localizados</t>
  </si>
  <si>
    <t xml:space="preserve">7.2.4 Apt. A, fracc. X</t>
  </si>
  <si>
    <t xml:space="preserve">Adjuntar comprobantes</t>
  </si>
  <si>
    <t xml:space="preserve">  5.2 Causales específicas IVA e IEPS — Apartado B (Rubros A, AA, AAA)</t>
  </si>
  <si>
    <t xml:space="preserve">Cancelación definitiva de la autorización, permiso o régimen aduanero bajo el cual se otorgó el registro (ej. cancelación definitiva del Programa IMMEX)</t>
  </si>
  <si>
    <t xml:space="preserve">7.2.4 Apt. B, fracc. I</t>
  </si>
  <si>
    <t xml:space="preserve">Empresas IMMEX: mercancías importadas temporalmente no retornadas, transferidas ni destinadas a otro régimen dentro del plazo autorizado</t>
  </si>
  <si>
    <t xml:space="preserve">7.2.4 Apt. B, fracc. II</t>
  </si>
  <si>
    <t xml:space="preserve">Las autoridades aduaneras detectan que las mercancías importadas temporalmente no se encuentran en los domicilios autorizados</t>
  </si>
  <si>
    <t xml:space="preserve">7.2.4 Apt. B, fracc. III</t>
  </si>
  <si>
    <t xml:space="preserve">No acreditar la legal estancia de mercancías de comercio exterior por más de $100,000 pesos y no cubrir el crédito fiscal determinado y notificado por el SAT</t>
  </si>
  <si>
    <t xml:space="preserve">7.2.4 Apt. B, fracc. IV</t>
  </si>
  <si>
    <t xml:space="preserve">Suspensión definitiva confirmada en el Padrón de Importadores o padrones específicos/sectoriales</t>
  </si>
  <si>
    <t xml:space="preserve">7.2.4 Apt. B, fracc. V</t>
  </si>
  <si>
    <t xml:space="preserve">La AGACE constata (inspección o facultades de comprobación) que no cuenta con infraestructura para operar el Programa IMMEX/RFE/depósito fiscal; incumple proceso productivo o no tiene la inversión declarada</t>
  </si>
  <si>
    <t xml:space="preserve">7.2.4 Apt. B, fracc. VI</t>
  </si>
  <si>
    <t xml:space="preserve">No haber retornado mercancías importadas temporalmente conforme a los porcentajes de la regla 7.1.2 (Apartados A fracc. III y B)</t>
  </si>
  <si>
    <t xml:space="preserve">7.2.4 Apt. B, fracc. VII</t>
  </si>
  <si>
    <t xml:space="preserve">  5.3 Causales de suspensión del registro</t>
  </si>
  <si>
    <t xml:space="preserve">Suspensión del Programa IMMEX por parte de la SE (el registro se suspende mientras dure; si se cancela el IMMEX, se inicia cancelación del registro)</t>
  </si>
  <si>
    <t xml:space="preserve">7.2.4 Suspensión, fracc. I</t>
  </si>
  <si>
    <t xml:space="preserve">Clave en el RFC suspendida por la autoridad competente (hasta que la autoridad resuelva la situación)</t>
  </si>
  <si>
    <t xml:space="preserve">7.2.4 Suspensión, fracc. II</t>
  </si>
  <si>
    <t xml:space="preserve">Impedir el acceso a la AGACE para llevar a cabo la supervisión de cumplimiento, sin solicitar nueva fecha dentro de los 15 días siguientes</t>
  </si>
  <si>
    <t xml:space="preserve">7.2.4 Suspensión, fracc. III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</si>
</sst>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6"/>
      <color rgb="FFF0C040"/>
      <name val="Arial"/>
      <family val="0"/>
      <charset val="1"/>
    </font>
    <font>
      <sz val="11"/>
      <color rgb="FFD5DBDB"/>
      <name val="Arial"/>
      <family val="0"/>
      <charset val="1"/>
    </font>
    <font>
      <i val="true"/>
      <sz val="9"/>
      <color rgb="FFD5DBD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u val="single"/>
      <sz val="9"/>
      <color rgb="FF0A2240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26"/>
      <color rgb="FF2C3E50"/>
      <name val="Arial"/>
      <family val="0"/>
      <charset val="1"/>
    </font>
    <font>
      <b val="true"/>
      <sz val="26"/>
      <color rgb="FF1E8449"/>
      <name val="Arial"/>
      <family val="0"/>
      <charset val="1"/>
    </font>
    <font>
      <b val="true"/>
      <sz val="26"/>
      <color rgb="FFC0392B"/>
      <name val="Arial"/>
      <family val="0"/>
      <charset val="1"/>
    </font>
    <font>
      <b val="true"/>
      <sz val="26"/>
      <color rgb="FFD68910"/>
      <name val="Arial"/>
      <family val="0"/>
      <charset val="1"/>
    </font>
    <font>
      <b val="true"/>
      <sz val="26"/>
      <color rgb="FF717D7E"/>
      <name val="Arial"/>
      <family val="0"/>
      <charset val="1"/>
    </font>
    <font>
      <b val="true"/>
      <sz val="26"/>
      <color rgb="FF117A65"/>
      <name val="Arial"/>
      <family val="0"/>
      <charset val="1"/>
    </font>
    <font>
      <sz val="9"/>
      <color rgb="FF2C3E50"/>
      <name val="Arial"/>
      <family val="0"/>
      <charset val="1"/>
    </font>
    <font>
      <b val="true"/>
      <sz val="9"/>
      <color rgb="FFD68910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717D7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8"/>
      <color rgb="FFAAAAAA"/>
      <name val="Arial"/>
      <family val="0"/>
      <charset val="1"/>
    </font>
    <font>
      <b val="true"/>
      <sz val="9"/>
      <color rgb="FF2C3E50"/>
      <name val="Arial"/>
      <family val="0"/>
      <charset val="1"/>
    </font>
    <font>
      <sz val="8"/>
      <color rgb="FF1A527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BBBBBB"/>
      <name val="Arial"/>
      <family val="0"/>
      <charset val="1"/>
    </font>
    <font>
      <sz val="8"/>
      <color rgb="FF999999"/>
      <name val="Arial"/>
      <family val="0"/>
      <charset val="1"/>
    </font>
    <font>
      <i val="true"/>
      <sz val="8"/>
      <color rgb="FF1A5276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A2240"/>
        <bgColor rgb="FF003300"/>
      </patternFill>
    </fill>
    <fill>
      <patternFill patternType="solid">
        <fgColor rgb="FF2C3E50"/>
        <bgColor rgb="FF1A5276"/>
      </patternFill>
    </fill>
    <fill>
      <patternFill patternType="solid">
        <fgColor rgb="FFF4F6FA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117A65"/>
        <bgColor rgb="FF008080"/>
      </patternFill>
    </fill>
    <fill>
      <patternFill patternType="solid">
        <fgColor rgb="FFE3F2FD"/>
        <bgColor rgb="FFEBF5FB"/>
      </patternFill>
    </fill>
    <fill>
      <patternFill patternType="solid">
        <fgColor rgb="FFE8F5E9"/>
        <bgColor rgb="FFEBF5FB"/>
      </patternFill>
    </fill>
    <fill>
      <patternFill patternType="solid">
        <fgColor rgb="FF1F618D"/>
        <bgColor rgb="FF1A5276"/>
      </patternFill>
    </fill>
    <fill>
      <patternFill patternType="solid">
        <fgColor rgb="FFC0392B"/>
        <bgColor rgb="FF993366"/>
      </patternFill>
    </fill>
    <fill>
      <patternFill patternType="solid">
        <fgColor rgb="FF1E8449"/>
        <bgColor rgb="FF117A65"/>
      </patternFill>
    </fill>
    <fill>
      <patternFill patternType="solid">
        <fgColor rgb="FFD68910"/>
        <bgColor rgb="FFFF6600"/>
      </patternFill>
    </fill>
    <fill>
      <patternFill patternType="solid">
        <fgColor rgb="FF717D7E"/>
        <bgColor rgb="FF888888"/>
      </patternFill>
    </fill>
    <fill>
      <patternFill patternType="solid">
        <fgColor rgb="FFF8F9FA"/>
        <bgColor rgb="FFF4F6FA"/>
      </patternFill>
    </fill>
    <fill>
      <patternFill patternType="solid">
        <fgColor rgb="FFFEF9E7"/>
        <bgColor rgb="FFF8F9FA"/>
      </patternFill>
    </fill>
    <fill>
      <patternFill patternType="solid">
        <fgColor rgb="FFF2F3F4"/>
        <bgColor rgb="FFF4F6FA"/>
      </patternFill>
    </fill>
    <fill>
      <patternFill patternType="solid">
        <fgColor rgb="FFEBF5FB"/>
        <bgColor rgb="FFF2F3F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BDB"/>
      </left>
      <right style="thin">
        <color rgb="FFD5DBDB"/>
      </right>
      <top style="thin">
        <color rgb="FFD5DBDB"/>
      </top>
      <bottom style="thin">
        <color rgb="FFD5DBDB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5DBDB"/>
      </left>
      <right/>
      <top style="thin">
        <color rgb="FFD5DBDB"/>
      </top>
      <bottom style="thin">
        <color rgb="FFD5DB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1E8449"/>
        <sz val="9"/>
      </font>
      <fill>
        <patternFill>
          <bgColor rgb="FFD4EFDF"/>
        </patternFill>
      </fill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color rgb="FF717D7E"/>
        <sz val="9"/>
      </font>
      <fill>
        <patternFill>
          <bgColor rgb="FFF2F3F4"/>
        </patternFill>
      </fill>
    </dxf>
    <dxf>
      <font>
        <name val="Arial"/>
        <charset val="1"/>
        <family val="0"/>
        <color rgb="FFD68910"/>
        <sz val="9"/>
      </font>
      <fill>
        <patternFill>
          <bgColor rgb="FFFEF9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8F9FA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BBBBBB"/>
      <rgbColor rgb="FF888888"/>
      <rgbColor rgb="FFAAAAAA"/>
      <rgbColor rgb="FF7D3C98"/>
      <rgbColor rgb="FFFEF9E7"/>
      <rgbColor rgb="FFE3F2FD"/>
      <rgbColor rgb="FF660066"/>
      <rgbColor rgb="FFFF8080"/>
      <rgbColor rgb="FF1F618D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4EFDF"/>
      <rgbColor rgb="FFF2F3F4"/>
      <rgbColor rgb="FFDDDDDD"/>
      <rgbColor rgb="FFF4F6FA"/>
      <rgbColor rgb="FFEBF5FB"/>
      <rgbColor rgb="FFFADBD8"/>
      <rgbColor rgb="FF3366FF"/>
      <rgbColor rgb="FF33CCCC"/>
      <rgbColor rgb="FF99CC00"/>
      <rgbColor rgb="FFF0C040"/>
      <rgbColor rgb="FFD68910"/>
      <rgbColor rgb="FFFF6600"/>
      <rgbColor rgb="FF717D7E"/>
      <rgbColor rgb="FF999999"/>
      <rgbColor rgb="FF0A2240"/>
      <rgbColor rgb="FF1E8449"/>
      <rgbColor rgb="FF003300"/>
      <rgbColor rgb="FF333300"/>
      <rgbColor rgb="FFC0392B"/>
      <rgbColor rgb="FF993366"/>
      <rgbColor rgb="FF1A5276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240"/>
    <pageSetUpPr fitToPage="fals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8"/>
  </cols>
  <sheetData>
    <row r="1" customFormat="false" ht="7.5" hidden="false" customHeight="true" outlineLevel="0" collapsed="false"/>
    <row r="2" customFormat="false" ht="18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8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8" hidden="false" customHeight="true" outlineLevel="0" collapsed="false">
      <c r="A5" s="4" t="s">
        <v>0</v>
      </c>
      <c r="B5" s="4"/>
      <c r="C5" s="4"/>
      <c r="D5" s="4"/>
      <c r="E5" s="4"/>
      <c r="F5" s="4"/>
      <c r="G5" s="4"/>
      <c r="H5" s="4"/>
    </row>
    <row r="6" customFormat="false" ht="18" hidden="false" customHeight="true" outlineLevel="0" collapsed="false">
      <c r="A6" s="5" t="s">
        <v>1</v>
      </c>
      <c r="B6" s="5"/>
      <c r="C6" s="5"/>
      <c r="D6" s="5"/>
      <c r="E6" s="5"/>
      <c r="F6" s="5"/>
      <c r="G6" s="5"/>
      <c r="H6" s="5"/>
    </row>
    <row r="7" customFormat="false" ht="18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8" hidden="false" customHeight="true" outlineLevel="0" collapsed="false">
      <c r="A8" s="6"/>
      <c r="B8" s="6"/>
      <c r="C8" s="6"/>
      <c r="D8" s="6"/>
      <c r="E8" s="6"/>
      <c r="F8" s="6"/>
      <c r="G8" s="6"/>
      <c r="H8" s="6"/>
    </row>
    <row r="9" customFormat="false" ht="18" hidden="false" customHeight="tru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18" hidden="false" customHeight="tru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18" hidden="false" customHeight="true" outlineLevel="0" collapsed="false">
      <c r="A11" s="2"/>
      <c r="B11" s="2"/>
      <c r="C11" s="2"/>
      <c r="D11" s="2"/>
      <c r="E11" s="2"/>
      <c r="F11" s="2"/>
      <c r="G11" s="2"/>
      <c r="H11" s="2"/>
    </row>
    <row r="13" customFormat="false" ht="24" hidden="false" customHeight="true" outlineLevel="0" collapsed="false">
      <c r="B13" s="7" t="s">
        <v>2</v>
      </c>
      <c r="C13" s="7"/>
    </row>
    <row r="14" customFormat="false" ht="24" hidden="false" customHeight="true" outlineLevel="0" collapsed="false">
      <c r="B14" s="8" t="s">
        <v>3</v>
      </c>
      <c r="C14" s="9"/>
    </row>
    <row r="15" customFormat="false" ht="24" hidden="false" customHeight="true" outlineLevel="0" collapsed="false">
      <c r="B15" s="8" t="s">
        <v>4</v>
      </c>
      <c r="C15" s="9"/>
    </row>
    <row r="16" customFormat="false" ht="24" hidden="false" customHeight="true" outlineLevel="0" collapsed="false">
      <c r="B16" s="8" t="s">
        <v>5</v>
      </c>
      <c r="C16" s="9"/>
    </row>
    <row r="17" customFormat="false" ht="24" hidden="false" customHeight="true" outlineLevel="0" collapsed="false">
      <c r="B17" s="8" t="s">
        <v>6</v>
      </c>
      <c r="C17" s="9"/>
    </row>
    <row r="18" customFormat="false" ht="24" hidden="false" customHeight="true" outlineLevel="0" collapsed="false">
      <c r="B18" s="8" t="s">
        <v>7</v>
      </c>
      <c r="C18" s="9"/>
    </row>
    <row r="19" customFormat="false" ht="24" hidden="false" customHeight="true" outlineLevel="0" collapsed="false">
      <c r="B19" s="8" t="s">
        <v>8</v>
      </c>
      <c r="C19" s="9"/>
    </row>
    <row r="20" customFormat="false" ht="24" hidden="false" customHeight="true" outlineLevel="0" collapsed="false">
      <c r="B20" s="8" t="s">
        <v>9</v>
      </c>
      <c r="C20" s="9"/>
    </row>
    <row r="21" customFormat="false" ht="24" hidden="false" customHeight="true" outlineLevel="0" collapsed="false"/>
    <row r="23" customFormat="false" ht="19.5" hidden="false" customHeight="true" outlineLevel="0" collapsed="false">
      <c r="B23" s="10" t="s">
        <v>10</v>
      </c>
      <c r="C23" s="10"/>
      <c r="D23" s="10"/>
      <c r="E23" s="10"/>
      <c r="F23" s="10"/>
      <c r="G23" s="10"/>
    </row>
    <row r="24" customFormat="false" ht="27.75" hidden="false" customHeight="true" outlineLevel="0" collapsed="false">
      <c r="B24" s="11" t="s">
        <v>11</v>
      </c>
      <c r="C24" s="12" t="s">
        <v>12</v>
      </c>
      <c r="D24" s="12" t="s">
        <v>13</v>
      </c>
      <c r="E24" s="13"/>
      <c r="F24" s="11" t="s">
        <v>14</v>
      </c>
      <c r="G24" s="12" t="s">
        <v>15</v>
      </c>
    </row>
    <row r="25" customFormat="false" ht="21.75" hidden="false" customHeight="true" outlineLevel="0" collapsed="false">
      <c r="B25" s="14" t="s">
        <v>16</v>
      </c>
      <c r="C25" s="14"/>
      <c r="D25" s="14"/>
      <c r="E25" s="14"/>
      <c r="F25" s="14"/>
      <c r="G25" s="14"/>
    </row>
    <row r="26" customFormat="false" ht="27.75" hidden="false" customHeight="true" outlineLevel="0" collapsed="false">
      <c r="A26" s="15"/>
      <c r="B26" s="16" t="s">
        <v>17</v>
      </c>
      <c r="C26" s="16"/>
      <c r="D26" s="17" t="s">
        <v>18</v>
      </c>
      <c r="E26" s="17"/>
      <c r="F26" s="18" t="s">
        <v>19</v>
      </c>
      <c r="G26" s="18"/>
    </row>
  </sheetData>
  <mergeCells count="10">
    <mergeCell ref="A3:H3"/>
    <mergeCell ref="A5:H5"/>
    <mergeCell ref="A6:H6"/>
    <mergeCell ref="A8:H8"/>
    <mergeCell ref="B13:C13"/>
    <mergeCell ref="B23:G23"/>
    <mergeCell ref="B25:G25"/>
    <mergeCell ref="B26:C26"/>
    <mergeCell ref="D26:E26"/>
    <mergeCell ref="F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240"/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6" min="3" style="1" width="14"/>
    <col collapsed="false" customWidth="true" hidden="false" outlineLevel="0" max="7" min="7" style="1" width="3"/>
    <col collapsed="false" customWidth="true" hidden="false" outlineLevel="0" max="8" min="8" style="1" width="22"/>
    <col collapsed="false" customWidth="true" hidden="false" outlineLevel="0" max="12" min="9" style="1" width="14"/>
  </cols>
  <sheetData>
    <row r="1" customFormat="false" ht="7.5" hidden="false" customHeight="true" outlineLevel="0" collapsed="false"/>
    <row r="2" customFormat="false" ht="39.75" hidden="false" customHeight="true" outlineLevel="0" collapsed="false">
      <c r="A2" s="19" t="s">
        <v>20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customFormat="false" ht="19.5" hidden="false" customHeight="true" outlineLevel="0" collapsed="false">
      <c r="A3" s="6" t="s">
        <v>21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19.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7.5" hidden="false" customHeight="true" outlineLevel="0" collapsed="false"/>
    <row r="7" customFormat="false" ht="21.75" hidden="false" customHeight="true" outlineLevel="0" collapsed="false">
      <c r="B7" s="20" t="s">
        <v>22</v>
      </c>
      <c r="C7" s="20"/>
      <c r="D7" s="20"/>
      <c r="E7" s="20"/>
      <c r="H7" s="21" t="s">
        <v>23</v>
      </c>
      <c r="I7" s="21"/>
      <c r="J7" s="21"/>
      <c r="K7" s="21"/>
    </row>
    <row r="8" customFormat="false" ht="39.75" hidden="false" customHeight="true" outlineLevel="0" collapsed="false">
      <c r="B8" s="22" t="n">
        <f aca="false">110</f>
        <v>110</v>
      </c>
      <c r="C8" s="22"/>
      <c r="D8" s="22"/>
      <c r="E8" s="22"/>
      <c r="H8" s="23" t="n">
        <f aca="false">COUNTIF(Req_Generales!B8:B32,"Cumplido")+COUNTIF(Req_Rubro!B8:B25,"Cumplido")+COUNTIF(IMMEX_Obligaciones!B8:B17,"Cumplido")+COUNTIF(IMMEX_Cancelacion!B9:B18,"Cumplido")+COUNTIF(IMMEX_ActivoFijo!B9:B15,"Cumplido")+COUNTIF(Obligaciones!B8:B19,"Cumplido")+COUNTIF(Requerimiento!B9:B25,"Cumplido")+COUNTIF(Cancelacion!B9:B30,"Cumplido")</f>
        <v>0</v>
      </c>
      <c r="I8" s="23"/>
      <c r="J8" s="23"/>
      <c r="K8" s="23"/>
    </row>
    <row r="9" customFormat="false" ht="18" hidden="false" customHeight="true" outlineLevel="0" collapsed="false"/>
    <row r="10" customFormat="false" ht="21.75" hidden="false" customHeight="true" outlineLevel="0" collapsed="false">
      <c r="B10" s="24" t="s">
        <v>24</v>
      </c>
      <c r="C10" s="24"/>
      <c r="D10" s="24"/>
      <c r="E10" s="24"/>
      <c r="H10" s="25" t="s">
        <v>25</v>
      </c>
      <c r="I10" s="25"/>
      <c r="J10" s="25"/>
      <c r="K10" s="25"/>
    </row>
    <row r="11" customFormat="false" ht="39.75" hidden="false" customHeight="true" outlineLevel="0" collapsed="false">
      <c r="B11" s="26" t="n">
        <f aca="false">COUNTIF(Req_Generales!B8:B32,"En riesgo")+COUNTIF(Req_Rubro!B8:B25,"En riesgo")+COUNTIF(IMMEX_Obligaciones!B8:B17,"En riesgo")+COUNTIF(IMMEX_Cancelacion!B9:B18,"En riesgo")+COUNTIF(IMMEX_ActivoFijo!B9:B15,"En riesgo")+COUNTIF(Obligaciones!B8:B19,"En riesgo")+COUNTIF(Requerimiento!B9:B25,"En riesgo")+COUNTIF(Cancelacion!B9:B30,"En riesgo")</f>
        <v>0</v>
      </c>
      <c r="C11" s="26"/>
      <c r="D11" s="26"/>
      <c r="E11" s="26"/>
      <c r="H11" s="27" t="n">
        <f aca="false">COUNTIF(Req_Generales!B8:B32,"Pendiente")+COUNTIF(Req_Rubro!B8:B25,"Pendiente")+COUNTIF(IMMEX_Obligaciones!B8:B17,"Pendiente")+COUNTIF(IMMEX_Cancelacion!B9:B18,"Pendiente")+COUNTIF(IMMEX_ActivoFijo!B9:B15,"Pendiente")+COUNTIF(Obligaciones!B8:B19,"Pendiente")+COUNTIF(Requerimiento!B9:B25,"Pendiente")+COUNTIF(Cancelacion!B9:B30,"Pendiente")</f>
        <v>110</v>
      </c>
      <c r="I11" s="27"/>
      <c r="J11" s="27"/>
      <c r="K11" s="27"/>
    </row>
    <row r="12" customFormat="false" ht="18" hidden="false" customHeight="true" outlineLevel="0" collapsed="false"/>
    <row r="13" customFormat="false" ht="21.75" hidden="false" customHeight="true" outlineLevel="0" collapsed="false">
      <c r="B13" s="28" t="s">
        <v>26</v>
      </c>
      <c r="C13" s="28"/>
      <c r="D13" s="28"/>
      <c r="E13" s="28"/>
      <c r="H13" s="29" t="s">
        <v>27</v>
      </c>
      <c r="I13" s="29"/>
      <c r="J13" s="29"/>
      <c r="K13" s="29"/>
    </row>
    <row r="14" customFormat="false" ht="39.75" hidden="false" customHeight="true" outlineLevel="0" collapsed="false">
      <c r="B14" s="30" t="n">
        <f aca="false">COUNTIF(Req_Generales!B8:B32,"N/A")+COUNTIF(Req_Rubro!B8:B25,"N/A")+COUNTIF(IMMEX_Obligaciones!B8:B17,"N/A")+COUNTIF(IMMEX_Cancelacion!B9:B18,"N/A")+COUNTIF(IMMEX_ActivoFijo!B9:B15,"N/A")+COUNTIF(Obligaciones!B8:B19,"N/A")+COUNTIF(Requerimiento!B9:B25,"N/A")+COUNTIF(Cancelacion!B9:B30,"N/A")</f>
        <v>0</v>
      </c>
      <c r="C14" s="30"/>
      <c r="D14" s="30"/>
      <c r="E14" s="30"/>
      <c r="H14" s="31" t="n">
        <f aca="false">IFERROR((COUNTIF(Req_Generales!B8:B32,"Cumplido")+COUNTIF(Req_Rubro!B8:B25,"Cumplido")+COUNTIF(IMMEX_Obligaciones!B8:B17,"Cumplido")+COUNTIF(IMMEX_Cancelacion!B9:B18,"Cumplido")+COUNTIF(IMMEX_ActivoFijo!B9:B15,"Cumplido")+COUNTIF(Obligaciones!B8:B19,"Cumplido")+COUNTIF(Requerimiento!B9:B25,"Cumplido")+COUNTIF(Cancelacion!B9:B30,"Cumplido"))/(110-(COUNTIF(Req_Generales!B8:B32,"N/A")+COUNTIF(Req_Rubro!B8:B25,"N/A")+COUNTIF(IMMEX_Obligaciones!B8:B17,"N/A")+COUNTIF(IMMEX_Cancelacion!B9:B18,"N/A")+COUNTIF(IMMEX_ActivoFijo!B9:B15,"N/A")+COUNTIF(Obligaciones!B8:B19,"N/A")+COUNTIF(Requerimiento!B9:B25,"N/A")+COUNTIF(Cancelacion!B9:B30,"N/A"))),0)</f>
        <v>0</v>
      </c>
      <c r="I14" s="31"/>
      <c r="J14" s="31"/>
      <c r="K14" s="31"/>
    </row>
    <row r="15" customFormat="false" ht="18" hidden="false" customHeight="true" outlineLevel="0" collapsed="false">
      <c r="H15" s="32"/>
    </row>
    <row r="17" customFormat="false" ht="7.5" hidden="false" customHeight="true" outlineLevel="0" collapsed="false"/>
    <row r="18" customFormat="false" ht="21.75" hidden="false" customHeight="true" outlineLevel="0" collapsed="false">
      <c r="B18" s="7" t="s">
        <v>28</v>
      </c>
      <c r="C18" s="7"/>
      <c r="D18" s="7"/>
      <c r="E18" s="7"/>
      <c r="F18" s="7"/>
      <c r="G18" s="7"/>
      <c r="H18" s="7"/>
      <c r="I18" s="7"/>
      <c r="J18" s="7"/>
      <c r="K18" s="7"/>
    </row>
    <row r="19" customFormat="false" ht="30" hidden="false" customHeight="true" outlineLevel="0" collapsed="false"/>
    <row r="20" customFormat="false" ht="19.5" hidden="false" customHeight="true" outlineLevel="0" collapsed="false">
      <c r="B20" s="29" t="s">
        <v>29</v>
      </c>
      <c r="C20" s="29"/>
      <c r="D20" s="29"/>
      <c r="E20" s="29"/>
      <c r="F20" s="29"/>
      <c r="G20" s="33" t="s">
        <v>30</v>
      </c>
      <c r="H20" s="33" t="s">
        <v>31</v>
      </c>
      <c r="I20" s="33" t="s">
        <v>32</v>
      </c>
      <c r="J20" s="33" t="s">
        <v>33</v>
      </c>
      <c r="K20" s="33" t="s">
        <v>34</v>
      </c>
    </row>
    <row r="21" customFormat="false" ht="21.75" hidden="false" customHeight="true" outlineLevel="0" collapsed="false">
      <c r="B21" s="34" t="s">
        <v>35</v>
      </c>
      <c r="C21" s="34"/>
      <c r="D21" s="34"/>
      <c r="E21" s="34"/>
      <c r="F21" s="34"/>
      <c r="G21" s="35" t="n">
        <v>22</v>
      </c>
      <c r="H21" s="35" t="n">
        <f aca="false">COUNTIF(Req_Generales!B8:B32,"Cumplido")</f>
        <v>0</v>
      </c>
      <c r="I21" s="35" t="n">
        <f aca="false">COUNTIF(Req_Generales!B8:B32,"En riesgo")</f>
        <v>0</v>
      </c>
      <c r="J21" s="35" t="n">
        <f aca="false">COUNTIF(Req_Generales!B8:B32,"Pendiente")</f>
        <v>22</v>
      </c>
      <c r="K21" s="36" t="n">
        <f aca="false">IFERROR(H21/(G21-COUNTIF(Req_Generales!B8:B32,"N/A")),0)</f>
        <v>0</v>
      </c>
    </row>
    <row r="22" customFormat="false" ht="21.75" hidden="false" customHeight="true" outlineLevel="0" collapsed="false">
      <c r="B22" s="37" t="s">
        <v>36</v>
      </c>
      <c r="C22" s="37"/>
      <c r="D22" s="37"/>
      <c r="E22" s="37"/>
      <c r="F22" s="37"/>
      <c r="G22" s="38" t="n">
        <v>16</v>
      </c>
      <c r="H22" s="38" t="n">
        <f aca="false">COUNTIF(Req_Rubro!B8:B25,"Cumplido")</f>
        <v>0</v>
      </c>
      <c r="I22" s="38" t="n">
        <f aca="false">COUNTIF(Req_Rubro!B8:B25,"En riesgo")</f>
        <v>0</v>
      </c>
      <c r="J22" s="38" t="n">
        <f aca="false">COUNTIF(Req_Rubro!B8:B25,"Pendiente")</f>
        <v>16</v>
      </c>
      <c r="K22" s="39" t="n">
        <f aca="false">IFERROR(H22/(G22-COUNTIF(Req_Rubro!B8:B25,"N/A")),0)</f>
        <v>0</v>
      </c>
    </row>
    <row r="23" customFormat="false" ht="21.75" hidden="false" customHeight="true" outlineLevel="0" collapsed="false">
      <c r="B23" s="37" t="s">
        <v>37</v>
      </c>
      <c r="C23" s="37"/>
      <c r="D23" s="37"/>
      <c r="E23" s="37"/>
      <c r="F23" s="37"/>
      <c r="G23" s="38" t="n">
        <v>11</v>
      </c>
      <c r="H23" s="38" t="n">
        <f aca="false">COUNTIF(Obligaciones!B8:B19,"Cumplido")</f>
        <v>0</v>
      </c>
      <c r="I23" s="38" t="n">
        <f aca="false">COUNTIF(Obligaciones!B8:B19,"En riesgo")</f>
        <v>0</v>
      </c>
      <c r="J23" s="38" t="n">
        <f aca="false">COUNTIF(Obligaciones!B8:B19,"Pendiente")</f>
        <v>11</v>
      </c>
      <c r="K23" s="39" t="n">
        <f aca="false">IFERROR(H23/(G23-COUNTIF(Obligaciones!B8:B19,"N/A")),0)</f>
        <v>0</v>
      </c>
    </row>
    <row r="24" customFormat="false" ht="21.75" hidden="false" customHeight="true" outlineLevel="0" collapsed="false">
      <c r="B24" s="34" t="s">
        <v>38</v>
      </c>
      <c r="C24" s="34"/>
      <c r="D24" s="34"/>
      <c r="E24" s="34"/>
      <c r="F24" s="34"/>
      <c r="G24" s="35" t="n">
        <v>16</v>
      </c>
      <c r="H24" s="35" t="n">
        <f aca="false">COUNTIF(Requerimiento!B9:B25,"Cumplido")</f>
        <v>0</v>
      </c>
      <c r="I24" s="35" t="n">
        <f aca="false">COUNTIF(Requerimiento!B9:B25,"En riesgo")</f>
        <v>0</v>
      </c>
      <c r="J24" s="35" t="n">
        <f aca="false">COUNTIF(Requerimiento!B9:B25,"Pendiente")</f>
        <v>16</v>
      </c>
      <c r="K24" s="36" t="n">
        <f aca="false">IFERROR(H25/(G25-COUNTIF(Requerimiento!B9:B25,"N/A")),0)</f>
        <v>0</v>
      </c>
    </row>
    <row r="25" customFormat="false" ht="21.75" hidden="false" customHeight="true" outlineLevel="0" collapsed="false">
      <c r="B25" s="37" t="s">
        <v>39</v>
      </c>
      <c r="C25" s="37"/>
      <c r="D25" s="37"/>
      <c r="E25" s="37"/>
      <c r="F25" s="37"/>
      <c r="G25" s="38" t="n">
        <v>20</v>
      </c>
      <c r="H25" s="38" t="n">
        <f aca="false">COUNTIF(Cancelacion!B9:B30,"Cumplido")</f>
        <v>0</v>
      </c>
      <c r="I25" s="38" t="n">
        <f aca="false">COUNTIF(Cancelacion!B9:B30,"En riesgo")</f>
        <v>0</v>
      </c>
      <c r="J25" s="38" t="n">
        <f aca="false">COUNTIF(Cancelacion!B9:B30,"Pendiente")</f>
        <v>20</v>
      </c>
      <c r="K25" s="39" t="n">
        <f aca="false">IFERROR(H26/(G26-COUNTIF(Cancelacion!B9:B30,"N/A")),0)</f>
        <v>0</v>
      </c>
    </row>
    <row r="26" customFormat="false" ht="21.75" hidden="false" customHeight="true" outlineLevel="0" collapsed="false">
      <c r="B26" s="37" t="s">
        <v>40</v>
      </c>
      <c r="C26" s="37"/>
      <c r="D26" s="37"/>
      <c r="E26" s="37"/>
      <c r="F26" s="37"/>
      <c r="G26" s="40" t="n">
        <v>9</v>
      </c>
      <c r="H26" s="40" t="n">
        <f aca="false">COUNTIF(IMMEX_Obligaciones!B8:B17,"Cumplido")</f>
        <v>0</v>
      </c>
      <c r="I26" s="40" t="n">
        <f aca="false">COUNTIF(IMMEX_Obligaciones!B8:B17,"En riesgo")</f>
        <v>0</v>
      </c>
      <c r="J26" s="40" t="n">
        <f aca="false">COUNTIF(IMMEX_Obligaciones!B8:B17,"Pendiente")</f>
        <v>9</v>
      </c>
      <c r="K26" s="41" t="n">
        <f aca="false">IFERROR(H27/(G27-COUNTIF(IMMEX_Obligaciones!B8:B17,"N/A")),0)</f>
        <v>0</v>
      </c>
    </row>
    <row r="27" customFormat="false" ht="21.75" hidden="false" customHeight="true" outlineLevel="0" collapsed="false">
      <c r="B27" s="34" t="s">
        <v>41</v>
      </c>
      <c r="C27" s="34"/>
      <c r="D27" s="34"/>
      <c r="E27" s="34"/>
      <c r="F27" s="34"/>
      <c r="G27" s="42" t="n">
        <v>10</v>
      </c>
      <c r="H27" s="42" t="n">
        <f aca="false">COUNTIF(IMMEX_Cancelacion!B9:B18,"Cumplido")</f>
        <v>0</v>
      </c>
      <c r="I27" s="42" t="n">
        <f aca="false">COUNTIF(IMMEX_Cancelacion!B9:B18,"En riesgo")</f>
        <v>0</v>
      </c>
      <c r="J27" s="42" t="n">
        <f aca="false">COUNTIF(IMMEX_Cancelacion!B9:B18,"Pendiente")</f>
        <v>10</v>
      </c>
      <c r="K27" s="43" t="n">
        <f aca="false">IFERROR(H28/(G28-COUNTIF(IMMEX_Cancelacion!B9:B18,"N/A")),0)</f>
        <v>0</v>
      </c>
    </row>
    <row r="28" customFormat="false" ht="21.75" hidden="false" customHeight="true" outlineLevel="0" collapsed="false">
      <c r="B28" s="37" t="s">
        <v>42</v>
      </c>
      <c r="C28" s="37"/>
      <c r="D28" s="37"/>
      <c r="E28" s="37"/>
      <c r="F28" s="37"/>
      <c r="G28" s="40" t="n">
        <v>6</v>
      </c>
      <c r="H28" s="40" t="n">
        <f aca="false">COUNTIF(IMMEX_ActivoFijo!B9:B15,"Cumplido")</f>
        <v>0</v>
      </c>
      <c r="I28" s="40" t="n">
        <f aca="false">COUNTIF(IMMEX_ActivoFijo!B9:B15,"En riesgo")</f>
        <v>0</v>
      </c>
      <c r="J28" s="40" t="n">
        <f aca="false">COUNTIF(IMMEX_ActivoFijo!B9:B15,"Pendiente")</f>
        <v>6</v>
      </c>
      <c r="K28" s="41" t="n">
        <f aca="false">IFERROR(H29/(G29-COUNTIF(IMMEX_ActivoFijo!B9:B15,"N/A")),0)</f>
        <v>0</v>
      </c>
    </row>
    <row r="29" customFormat="false" ht="21.75" hidden="false" customHeight="true" outlineLevel="0" collapsed="false">
      <c r="B29" s="44" t="s">
        <v>43</v>
      </c>
      <c r="C29" s="44"/>
      <c r="D29" s="44" t="s">
        <v>44</v>
      </c>
      <c r="E29" s="44"/>
      <c r="F29" s="44" t="s">
        <v>32</v>
      </c>
      <c r="H29" s="45" t="s">
        <v>45</v>
      </c>
    </row>
    <row r="30" customFormat="false" ht="24" hidden="false" customHeight="true" outlineLevel="0" collapsed="false"/>
    <row r="31" customFormat="false" ht="15" hidden="false" customHeight="false" outlineLevel="0" collapsed="false">
      <c r="B31" s="15" t="s">
        <v>46</v>
      </c>
    </row>
    <row r="32" customFormat="false" ht="15.75" hidden="false" customHeight="true" outlineLevel="0" collapsed="false">
      <c r="B32" s="46"/>
      <c r="C32" s="46"/>
      <c r="D32" s="46"/>
      <c r="E32" s="46"/>
      <c r="F32" s="46"/>
      <c r="G32" s="46"/>
      <c r="H32" s="46"/>
      <c r="I32" s="46"/>
      <c r="J32" s="46"/>
      <c r="K32" s="46"/>
    </row>
  </sheetData>
  <mergeCells count="26">
    <mergeCell ref="A2:L2"/>
    <mergeCell ref="A3:L3"/>
    <mergeCell ref="B7:E7"/>
    <mergeCell ref="H7:K7"/>
    <mergeCell ref="B8:E8"/>
    <mergeCell ref="H8:K8"/>
    <mergeCell ref="B10:E10"/>
    <mergeCell ref="H10:K10"/>
    <mergeCell ref="B11:E11"/>
    <mergeCell ref="H11:K11"/>
    <mergeCell ref="B13:E13"/>
    <mergeCell ref="H13:K13"/>
    <mergeCell ref="B14:E14"/>
    <mergeCell ref="H14:K14"/>
    <mergeCell ref="B18:K18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2:K32"/>
  </mergeCells>
  <conditionalFormatting sqref="K21">
    <cfRule type="expression" priority="2" aboveAverage="0" equalAverage="0" bottom="0" percent="0" rank="0" text="" dxfId="0">
      <formula>K21&gt;=0.8</formula>
    </cfRule>
  </conditionalFormatting>
  <conditionalFormatting sqref="K22">
    <cfRule type="expression" priority="3" aboveAverage="0" equalAverage="0" bottom="0" percent="0" rank="0" text="" dxfId="0">
      <formula>K22&gt;=0.8</formula>
    </cfRule>
  </conditionalFormatting>
  <conditionalFormatting sqref="K23">
    <cfRule type="expression" priority="4" aboveAverage="0" equalAverage="0" bottom="0" percent="0" rank="0" text="" dxfId="0">
      <formula>K23&gt;=0.8</formula>
    </cfRule>
  </conditionalFormatting>
  <conditionalFormatting sqref="K24">
    <cfRule type="expression" priority="5" aboveAverage="0" equalAverage="0" bottom="0" percent="0" rank="0" text="" dxfId="0">
      <formula>K24&gt;=0.8</formula>
    </cfRule>
  </conditionalFormatting>
  <conditionalFormatting sqref="K25">
    <cfRule type="expression" priority="6" aboveAverage="0" equalAverage="0" bottom="0" percent="0" rank="0" text="" dxfId="0">
      <formula>K25&gt;=0.8</formula>
    </cfRule>
  </conditionalFormatting>
  <conditionalFormatting sqref="K26">
    <cfRule type="expression" priority="7" aboveAverage="0" equalAverage="0" bottom="0" percent="0" rank="0" text="" dxfId="0">
      <formula>K26&gt;=0.8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"/>
    <col collapsed="false" customWidth="true" hidden="false" outlineLevel="0" max="3" min="3" style="1" width="55"/>
    <col collapsed="false" customWidth="true" hidden="false" outlineLevel="0" max="4" min="4" style="1" width="22"/>
    <col collapsed="false" customWidth="true" hidden="false" outlineLevel="0" max="5" min="5" style="1" width="28"/>
    <col collapsed="false" customWidth="true" hidden="false" outlineLevel="0" max="6" min="6" style="1" width="18"/>
    <col collapsed="false" customWidth="true" hidden="false" outlineLevel="0" max="7" min="7" style="1" width="16"/>
  </cols>
  <sheetData>
    <row r="1" customFormat="false" ht="7.5" hidden="false" customHeight="true" outlineLevel="0" collapsed="false"/>
    <row r="2" customFormat="false" ht="36" hidden="false" customHeight="true" outlineLevel="0" collapsed="false">
      <c r="A2" s="47" t="s">
        <v>47</v>
      </c>
      <c r="B2" s="47"/>
      <c r="C2" s="47"/>
      <c r="D2" s="47"/>
      <c r="E2" s="47"/>
      <c r="F2" s="47"/>
      <c r="G2" s="47"/>
    </row>
    <row r="3" customFormat="false" ht="19.5" hidden="false" customHeight="true" outlineLevel="0" collapsed="false">
      <c r="A3" s="6" t="s">
        <v>48</v>
      </c>
      <c r="B3" s="6"/>
      <c r="C3" s="6"/>
      <c r="D3" s="6"/>
      <c r="E3" s="6"/>
      <c r="F3" s="6"/>
      <c r="G3" s="6"/>
    </row>
    <row r="4" customFormat="false" ht="19.5" hidden="false" customHeight="true" outlineLevel="0" collapsed="false">
      <c r="A4" s="48" t="s">
        <v>49</v>
      </c>
      <c r="B4" s="48"/>
      <c r="C4" s="48"/>
      <c r="D4" s="48"/>
      <c r="E4" s="48"/>
      <c r="F4" s="48"/>
      <c r="G4" s="48"/>
    </row>
    <row r="5" customFormat="false" ht="7.5" hidden="false" customHeight="true" outlineLevel="0" collapsed="false"/>
    <row r="6" customFormat="false" ht="25.5" hidden="false" customHeight="true" outlineLevel="0" collapsed="false">
      <c r="A6" s="49" t="s">
        <v>50</v>
      </c>
      <c r="B6" s="49" t="s">
        <v>51</v>
      </c>
      <c r="C6" s="49" t="s">
        <v>52</v>
      </c>
      <c r="D6" s="49" t="s">
        <v>53</v>
      </c>
      <c r="E6" s="49" t="s">
        <v>54</v>
      </c>
      <c r="F6" s="49" t="s">
        <v>55</v>
      </c>
      <c r="G6" s="49" t="s">
        <v>56</v>
      </c>
    </row>
    <row r="7" customFormat="false" ht="21.75" hidden="false" customHeight="true" outlineLevel="0" collapsed="false">
      <c r="A7" s="50" t="s">
        <v>57</v>
      </c>
      <c r="B7" s="50"/>
      <c r="C7" s="50"/>
      <c r="D7" s="50"/>
      <c r="E7" s="50"/>
      <c r="F7" s="50"/>
      <c r="G7" s="50"/>
    </row>
    <row r="8" customFormat="false" ht="42" hidden="false" customHeight="true" outlineLevel="0" collapsed="false">
      <c r="A8" s="51" t="n">
        <v>1</v>
      </c>
      <c r="B8" s="35" t="s">
        <v>43</v>
      </c>
      <c r="C8" s="52" t="s">
        <v>58</v>
      </c>
      <c r="D8" s="53" t="s">
        <v>59</v>
      </c>
      <c r="E8" s="52" t="s">
        <v>60</v>
      </c>
      <c r="F8" s="35" t="s">
        <v>61</v>
      </c>
      <c r="G8" s="35"/>
    </row>
    <row r="9" customFormat="false" ht="42" hidden="false" customHeight="true" outlineLevel="0" collapsed="false">
      <c r="A9" s="54" t="n">
        <v>2</v>
      </c>
      <c r="B9" s="38" t="s">
        <v>43</v>
      </c>
      <c r="C9" s="55" t="s">
        <v>62</v>
      </c>
      <c r="D9" s="56" t="s">
        <v>63</v>
      </c>
      <c r="E9" s="55" t="s">
        <v>64</v>
      </c>
      <c r="F9" s="38" t="s">
        <v>61</v>
      </c>
      <c r="G9" s="38"/>
    </row>
    <row r="10" customFormat="false" ht="42" hidden="false" customHeight="true" outlineLevel="0" collapsed="false">
      <c r="A10" s="51" t="n">
        <v>3</v>
      </c>
      <c r="B10" s="35" t="s">
        <v>43</v>
      </c>
      <c r="C10" s="52" t="s">
        <v>65</v>
      </c>
      <c r="D10" s="53" t="s">
        <v>66</v>
      </c>
      <c r="E10" s="52" t="s">
        <v>67</v>
      </c>
      <c r="F10" s="35" t="s">
        <v>61</v>
      </c>
      <c r="G10" s="35"/>
    </row>
    <row r="11" customFormat="false" ht="42" hidden="false" customHeight="true" outlineLevel="0" collapsed="false">
      <c r="A11" s="54" t="n">
        <v>4</v>
      </c>
      <c r="B11" s="38" t="s">
        <v>43</v>
      </c>
      <c r="C11" s="55" t="s">
        <v>68</v>
      </c>
      <c r="D11" s="56" t="s">
        <v>69</v>
      </c>
      <c r="E11" s="55" t="s">
        <v>70</v>
      </c>
      <c r="F11" s="38" t="s">
        <v>71</v>
      </c>
      <c r="G11" s="38"/>
    </row>
    <row r="12" customFormat="false" ht="42" hidden="false" customHeight="true" outlineLevel="0" collapsed="false">
      <c r="A12" s="51" t="n">
        <v>5</v>
      </c>
      <c r="B12" s="35" t="s">
        <v>43</v>
      </c>
      <c r="C12" s="52" t="s">
        <v>72</v>
      </c>
      <c r="D12" s="53" t="s">
        <v>73</v>
      </c>
      <c r="E12" s="52"/>
      <c r="F12" s="35" t="s">
        <v>61</v>
      </c>
      <c r="G12" s="35"/>
    </row>
    <row r="13" customFormat="false" ht="42" hidden="false" customHeight="true" outlineLevel="0" collapsed="false">
      <c r="A13" s="54" t="n">
        <v>6</v>
      </c>
      <c r="B13" s="38" t="s">
        <v>43</v>
      </c>
      <c r="C13" s="55" t="s">
        <v>74</v>
      </c>
      <c r="D13" s="56" t="s">
        <v>75</v>
      </c>
      <c r="E13" s="55" t="s">
        <v>76</v>
      </c>
      <c r="F13" s="38" t="s">
        <v>61</v>
      </c>
      <c r="G13" s="38"/>
    </row>
    <row r="14" customFormat="false" ht="42" hidden="false" customHeight="true" outlineLevel="0" collapsed="false">
      <c r="A14" s="51" t="n">
        <v>7</v>
      </c>
      <c r="B14" s="35" t="s">
        <v>43</v>
      </c>
      <c r="C14" s="52" t="s">
        <v>77</v>
      </c>
      <c r="D14" s="53" t="s">
        <v>78</v>
      </c>
      <c r="E14" s="52"/>
      <c r="F14" s="35" t="s">
        <v>61</v>
      </c>
      <c r="G14" s="35"/>
    </row>
    <row r="15" customFormat="false" ht="42" hidden="false" customHeight="true" outlineLevel="0" collapsed="false">
      <c r="A15" s="54" t="n">
        <v>8</v>
      </c>
      <c r="B15" s="38" t="s">
        <v>43</v>
      </c>
      <c r="C15" s="55" t="s">
        <v>79</v>
      </c>
      <c r="D15" s="56" t="s">
        <v>80</v>
      </c>
      <c r="E15" s="55" t="s">
        <v>81</v>
      </c>
      <c r="F15" s="38" t="s">
        <v>61</v>
      </c>
      <c r="G15" s="38"/>
    </row>
    <row r="16" customFormat="false" ht="42" hidden="false" customHeight="true" outlineLevel="0" collapsed="false">
      <c r="A16" s="51" t="n">
        <v>9</v>
      </c>
      <c r="B16" s="35" t="s">
        <v>43</v>
      </c>
      <c r="C16" s="52" t="s">
        <v>82</v>
      </c>
      <c r="D16" s="53" t="s">
        <v>83</v>
      </c>
      <c r="E16" s="52" t="s">
        <v>81</v>
      </c>
      <c r="F16" s="35" t="s">
        <v>61</v>
      </c>
      <c r="G16" s="35"/>
    </row>
    <row r="17" customFormat="false" ht="42" hidden="false" customHeight="true" outlineLevel="0" collapsed="false">
      <c r="A17" s="54" t="n">
        <v>10</v>
      </c>
      <c r="B17" s="38" t="s">
        <v>43</v>
      </c>
      <c r="C17" s="55" t="s">
        <v>84</v>
      </c>
      <c r="D17" s="56" t="s">
        <v>85</v>
      </c>
      <c r="E17" s="55"/>
      <c r="F17" s="38" t="s">
        <v>61</v>
      </c>
      <c r="G17" s="38"/>
    </row>
    <row r="18" customFormat="false" ht="21.75" hidden="false" customHeight="true" outlineLevel="0" collapsed="false">
      <c r="A18" s="50" t="s">
        <v>86</v>
      </c>
      <c r="B18" s="50"/>
      <c r="C18" s="50"/>
      <c r="D18" s="50"/>
      <c r="E18" s="50"/>
      <c r="F18" s="50"/>
      <c r="G18" s="50"/>
    </row>
    <row r="19" customFormat="false" ht="42" hidden="false" customHeight="true" outlineLevel="0" collapsed="false">
      <c r="A19" s="51" t="n">
        <v>11</v>
      </c>
      <c r="B19" s="35" t="s">
        <v>43</v>
      </c>
      <c r="C19" s="52" t="s">
        <v>87</v>
      </c>
      <c r="D19" s="53" t="s">
        <v>88</v>
      </c>
      <c r="E19" s="52" t="s">
        <v>89</v>
      </c>
      <c r="F19" s="35" t="s">
        <v>61</v>
      </c>
      <c r="G19" s="35"/>
    </row>
    <row r="20" customFormat="false" ht="42" hidden="false" customHeight="true" outlineLevel="0" collapsed="false">
      <c r="A20" s="54" t="n">
        <v>12</v>
      </c>
      <c r="B20" s="38" t="s">
        <v>43</v>
      </c>
      <c r="C20" s="55" t="s">
        <v>90</v>
      </c>
      <c r="D20" s="56" t="s">
        <v>91</v>
      </c>
      <c r="E20" s="55" t="s">
        <v>92</v>
      </c>
      <c r="F20" s="38" t="s">
        <v>61</v>
      </c>
      <c r="G20" s="38"/>
    </row>
    <row r="21" customFormat="false" ht="42" hidden="false" customHeight="true" outlineLevel="0" collapsed="false">
      <c r="A21" s="51" t="n">
        <v>13</v>
      </c>
      <c r="B21" s="35" t="s">
        <v>43</v>
      </c>
      <c r="C21" s="52" t="s">
        <v>93</v>
      </c>
      <c r="D21" s="53" t="s">
        <v>94</v>
      </c>
      <c r="E21" s="52"/>
      <c r="F21" s="35" t="s">
        <v>61</v>
      </c>
      <c r="G21" s="35"/>
    </row>
    <row r="22" customFormat="false" ht="42" hidden="false" customHeight="true" outlineLevel="0" collapsed="false">
      <c r="A22" s="54" t="n">
        <v>14</v>
      </c>
      <c r="B22" s="38" t="s">
        <v>43</v>
      </c>
      <c r="C22" s="55" t="s">
        <v>95</v>
      </c>
      <c r="D22" s="56" t="s">
        <v>96</v>
      </c>
      <c r="E22" s="55" t="s">
        <v>97</v>
      </c>
      <c r="F22" s="38" t="s">
        <v>61</v>
      </c>
      <c r="G22" s="38"/>
    </row>
    <row r="23" customFormat="false" ht="21.75" hidden="false" customHeight="true" outlineLevel="0" collapsed="false">
      <c r="A23" s="50" t="s">
        <v>98</v>
      </c>
      <c r="B23" s="50"/>
      <c r="C23" s="50"/>
      <c r="D23" s="50"/>
      <c r="E23" s="50"/>
      <c r="F23" s="50"/>
      <c r="G23" s="50"/>
    </row>
    <row r="24" customFormat="false" ht="42" hidden="false" customHeight="true" outlineLevel="0" collapsed="false">
      <c r="A24" s="51" t="n">
        <v>15</v>
      </c>
      <c r="B24" s="35" t="s">
        <v>43</v>
      </c>
      <c r="C24" s="52" t="s">
        <v>99</v>
      </c>
      <c r="D24" s="53" t="s">
        <v>100</v>
      </c>
      <c r="E24" s="52" t="s">
        <v>101</v>
      </c>
      <c r="F24" s="35" t="s">
        <v>61</v>
      </c>
      <c r="G24" s="35"/>
    </row>
    <row r="25" customFormat="false" ht="42" hidden="false" customHeight="true" outlineLevel="0" collapsed="false">
      <c r="A25" s="54" t="n">
        <v>16</v>
      </c>
      <c r="B25" s="38" t="s">
        <v>43</v>
      </c>
      <c r="C25" s="55" t="s">
        <v>102</v>
      </c>
      <c r="D25" s="56" t="s">
        <v>103</v>
      </c>
      <c r="E25" s="55" t="s">
        <v>104</v>
      </c>
      <c r="F25" s="38" t="s">
        <v>61</v>
      </c>
      <c r="G25" s="38"/>
    </row>
    <row r="26" customFormat="false" ht="42" hidden="false" customHeight="true" outlineLevel="0" collapsed="false">
      <c r="A26" s="51" t="n">
        <v>17</v>
      </c>
      <c r="B26" s="35" t="s">
        <v>43</v>
      </c>
      <c r="C26" s="52" t="s">
        <v>105</v>
      </c>
      <c r="D26" s="53" t="s">
        <v>106</v>
      </c>
      <c r="E26" s="52" t="s">
        <v>107</v>
      </c>
      <c r="F26" s="35" t="s">
        <v>71</v>
      </c>
      <c r="G26" s="35"/>
    </row>
    <row r="27" customFormat="false" ht="42" hidden="false" customHeight="true" outlineLevel="0" collapsed="false">
      <c r="A27" s="54" t="n">
        <v>18</v>
      </c>
      <c r="B27" s="38" t="s">
        <v>43</v>
      </c>
      <c r="C27" s="55" t="s">
        <v>108</v>
      </c>
      <c r="D27" s="56" t="s">
        <v>109</v>
      </c>
      <c r="E27" s="55"/>
      <c r="F27" s="38" t="s">
        <v>61</v>
      </c>
      <c r="G27" s="38"/>
    </row>
    <row r="28" customFormat="false" ht="42" hidden="false" customHeight="true" outlineLevel="0" collapsed="false">
      <c r="A28" s="51" t="n">
        <v>19</v>
      </c>
      <c r="B28" s="35" t="s">
        <v>43</v>
      </c>
      <c r="C28" s="52" t="s">
        <v>110</v>
      </c>
      <c r="D28" s="53" t="s">
        <v>111</v>
      </c>
      <c r="E28" s="52"/>
      <c r="F28" s="35" t="s">
        <v>61</v>
      </c>
      <c r="G28" s="35"/>
    </row>
    <row r="29" customFormat="false" ht="42" hidden="false" customHeight="true" outlineLevel="0" collapsed="false">
      <c r="A29" s="54" t="n">
        <v>20</v>
      </c>
      <c r="B29" s="38" t="s">
        <v>43</v>
      </c>
      <c r="C29" s="55" t="s">
        <v>112</v>
      </c>
      <c r="D29" s="56" t="s">
        <v>113</v>
      </c>
      <c r="E29" s="55" t="s">
        <v>114</v>
      </c>
      <c r="F29" s="38" t="s">
        <v>61</v>
      </c>
      <c r="G29" s="38"/>
    </row>
    <row r="30" customFormat="false" ht="21.75" hidden="false" customHeight="true" outlineLevel="0" collapsed="false">
      <c r="A30" s="50" t="s">
        <v>115</v>
      </c>
      <c r="B30" s="50"/>
      <c r="C30" s="50"/>
      <c r="D30" s="50"/>
      <c r="E30" s="50"/>
      <c r="F30" s="50"/>
      <c r="G30" s="50"/>
    </row>
    <row r="31" customFormat="false" ht="42" hidden="false" customHeight="true" outlineLevel="0" collapsed="false">
      <c r="A31" s="51" t="n">
        <v>21</v>
      </c>
      <c r="B31" s="35" t="s">
        <v>43</v>
      </c>
      <c r="C31" s="52" t="s">
        <v>116</v>
      </c>
      <c r="D31" s="53" t="s">
        <v>117</v>
      </c>
      <c r="E31" s="52" t="s">
        <v>118</v>
      </c>
      <c r="F31" s="35" t="s">
        <v>61</v>
      </c>
      <c r="G31" s="35"/>
    </row>
    <row r="32" customFormat="false" ht="42" hidden="false" customHeight="true" outlineLevel="0" collapsed="false">
      <c r="A32" s="54" t="n">
        <v>22</v>
      </c>
      <c r="B32" s="38" t="s">
        <v>43</v>
      </c>
      <c r="C32" s="55" t="s">
        <v>119</v>
      </c>
      <c r="D32" s="56" t="s">
        <v>120</v>
      </c>
      <c r="E32" s="55" t="s">
        <v>121</v>
      </c>
      <c r="F32" s="38" t="s">
        <v>61</v>
      </c>
      <c r="G32" s="38"/>
    </row>
  </sheetData>
  <mergeCells count="7">
    <mergeCell ref="A2:G2"/>
    <mergeCell ref="A3:G3"/>
    <mergeCell ref="A4:G4"/>
    <mergeCell ref="A7:G7"/>
    <mergeCell ref="A18:G18"/>
    <mergeCell ref="A23:G23"/>
    <mergeCell ref="A30:G30"/>
  </mergeCells>
  <conditionalFormatting sqref="B8:G32">
    <cfRule type="expression" priority="2" aboveAverage="0" equalAverage="0" bottom="0" percent="0" rank="0" text="" dxfId="0">
      <formula>$B8="Cumplido"</formula>
    </cfRule>
    <cfRule type="expression" priority="3" aboveAverage="0" equalAverage="0" bottom="0" percent="0" rank="0" text="" dxfId="1">
      <formula>$B8="En riesgo"</formula>
    </cfRule>
    <cfRule type="expression" priority="4" aboveAverage="0" equalAverage="0" bottom="0" percent="0" rank="0" text="" dxfId="2">
      <formula>$B8="N/A"</formula>
    </cfRule>
    <cfRule type="expression" priority="5" aboveAverage="0" equalAverage="0" bottom="0" percent="0" rank="0" text="" dxfId="3">
      <formula>$B8="Pendiente"</formula>
    </cfRule>
  </conditionalFormatting>
  <dataValidations count="4">
    <dataValidation allowBlank="true" error="Valor no válido" errorStyle="stop" errorTitle="Selecciona una opción" operator="between" showDropDown="false" showErrorMessage="true" showInputMessage="false" sqref="B8:B32" type="list">
      <formula1>"Pendiente,Cumplido,En riesgo,N/A"</formula1>
      <formula2>0</formula2>
    </dataValidation>
    <dataValidation allowBlank="true" errorStyle="stop" operator="between" showDropDown="false" showErrorMessage="false" showInputMessage="false" sqref="F8:F32" type="list">
      <formula1>"Cliente,Asesor,AGACE,Otro"</formula1>
      <formula2>0</formula2>
    </dataValidation>
    <dataValidation allowBlank="true" errorStyle="stop" operator="between" showDropDown="false" showErrorMessage="false" showInputMessage="false" sqref="E8:E32" type="list">
      <formula1>"Sin documento,Adjunto,No aplica"</formula1>
      <formula2>0</formula2>
    </dataValidation>
    <dataValidation allowBlank="true" error="Ingresa una fecha válida" errorStyle="stop" errorTitle="Fecha inválida" operator="between" showDropDown="false" showErrorMessage="true" showInputMessage="false" sqref="G8:G32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7A65"/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"/>
    <col collapsed="false" customWidth="true" hidden="false" outlineLevel="0" max="3" min="3" style="1" width="55"/>
    <col collapsed="false" customWidth="true" hidden="false" outlineLevel="0" max="4" min="4" style="1" width="22"/>
    <col collapsed="false" customWidth="true" hidden="false" outlineLevel="0" max="5" min="5" style="1" width="28"/>
    <col collapsed="false" customWidth="true" hidden="false" outlineLevel="0" max="6" min="6" style="1" width="18"/>
    <col collapsed="false" customWidth="true" hidden="false" outlineLevel="0" max="7" min="7" style="1" width="16"/>
  </cols>
  <sheetData>
    <row r="1" customFormat="false" ht="7.5" hidden="false" customHeight="true" outlineLevel="0" collapsed="false"/>
    <row r="2" customFormat="false" ht="36" hidden="false" customHeight="true" outlineLevel="0" collapsed="false">
      <c r="A2" s="47" t="s">
        <v>122</v>
      </c>
      <c r="B2" s="47"/>
      <c r="C2" s="47"/>
      <c r="D2" s="47"/>
      <c r="E2" s="47"/>
      <c r="F2" s="47"/>
      <c r="G2" s="47"/>
    </row>
    <row r="3" customFormat="false" ht="19.5" hidden="false" customHeight="true" outlineLevel="0" collapsed="false">
      <c r="A3" s="6" t="s">
        <v>123</v>
      </c>
      <c r="B3" s="6"/>
      <c r="C3" s="6"/>
      <c r="D3" s="6"/>
      <c r="E3" s="6"/>
      <c r="F3" s="6"/>
      <c r="G3" s="6"/>
    </row>
    <row r="4" customFormat="false" ht="19.5" hidden="false" customHeight="true" outlineLevel="0" collapsed="false">
      <c r="A4" s="48" t="s">
        <v>49</v>
      </c>
      <c r="B4" s="48"/>
      <c r="C4" s="48"/>
      <c r="D4" s="48"/>
      <c r="E4" s="48"/>
      <c r="F4" s="48"/>
      <c r="G4" s="48"/>
    </row>
    <row r="5" customFormat="false" ht="7.5" hidden="false" customHeight="true" outlineLevel="0" collapsed="false"/>
    <row r="6" customFormat="false" ht="25.5" hidden="false" customHeight="true" outlineLevel="0" collapsed="false">
      <c r="A6" s="49" t="s">
        <v>50</v>
      </c>
      <c r="B6" s="49" t="s">
        <v>51</v>
      </c>
      <c r="C6" s="49" t="s">
        <v>52</v>
      </c>
      <c r="D6" s="49" t="s">
        <v>53</v>
      </c>
      <c r="E6" s="49" t="s">
        <v>54</v>
      </c>
      <c r="F6" s="49" t="s">
        <v>55</v>
      </c>
      <c r="G6" s="49" t="s">
        <v>56</v>
      </c>
    </row>
    <row r="7" customFormat="false" ht="21.75" hidden="false" customHeight="true" outlineLevel="0" collapsed="false">
      <c r="A7" s="50" t="s">
        <v>124</v>
      </c>
      <c r="B7" s="50"/>
      <c r="C7" s="50"/>
      <c r="D7" s="50"/>
      <c r="E7" s="50"/>
      <c r="F7" s="50"/>
      <c r="G7" s="50"/>
    </row>
    <row r="8" customFormat="false" ht="42" hidden="false" customHeight="true" outlineLevel="0" collapsed="false">
      <c r="A8" s="51" t="n">
        <v>1</v>
      </c>
      <c r="B8" s="35" t="s">
        <v>43</v>
      </c>
      <c r="C8" s="52" t="s">
        <v>125</v>
      </c>
      <c r="D8" s="53" t="s">
        <v>126</v>
      </c>
      <c r="E8" s="52"/>
      <c r="F8" s="35" t="s">
        <v>71</v>
      </c>
      <c r="G8" s="35"/>
    </row>
    <row r="9" customFormat="false" ht="42" hidden="false" customHeight="true" outlineLevel="0" collapsed="false">
      <c r="A9" s="54" t="n">
        <v>2</v>
      </c>
      <c r="B9" s="38" t="s">
        <v>43</v>
      </c>
      <c r="C9" s="55" t="s">
        <v>127</v>
      </c>
      <c r="D9" s="56" t="s">
        <v>128</v>
      </c>
      <c r="E9" s="55"/>
      <c r="F9" s="38" t="s">
        <v>61</v>
      </c>
      <c r="G9" s="38"/>
    </row>
    <row r="10" customFormat="false" ht="42" hidden="false" customHeight="true" outlineLevel="0" collapsed="false">
      <c r="A10" s="51" t="n">
        <v>3</v>
      </c>
      <c r="B10" s="35" t="s">
        <v>43</v>
      </c>
      <c r="C10" s="52" t="s">
        <v>129</v>
      </c>
      <c r="D10" s="53" t="s">
        <v>130</v>
      </c>
      <c r="E10" s="52"/>
      <c r="F10" s="35" t="s">
        <v>61</v>
      </c>
      <c r="G10" s="35"/>
    </row>
    <row r="11" customFormat="false" ht="42" hidden="false" customHeight="true" outlineLevel="0" collapsed="false">
      <c r="A11" s="54" t="n">
        <v>4</v>
      </c>
      <c r="B11" s="38" t="s">
        <v>43</v>
      </c>
      <c r="C11" s="55" t="s">
        <v>131</v>
      </c>
      <c r="D11" s="56" t="s">
        <v>132</v>
      </c>
      <c r="E11" s="55"/>
      <c r="F11" s="38" t="s">
        <v>71</v>
      </c>
      <c r="G11" s="38"/>
    </row>
    <row r="12" customFormat="false" ht="42" hidden="false" customHeight="true" outlineLevel="0" collapsed="false">
      <c r="A12" s="51" t="n">
        <v>5</v>
      </c>
      <c r="B12" s="35" t="s">
        <v>43</v>
      </c>
      <c r="C12" s="52" t="s">
        <v>133</v>
      </c>
      <c r="D12" s="53" t="s">
        <v>134</v>
      </c>
      <c r="E12" s="52"/>
      <c r="F12" s="35" t="s">
        <v>71</v>
      </c>
      <c r="G12" s="35"/>
    </row>
    <row r="13" customFormat="false" ht="42" hidden="false" customHeight="true" outlineLevel="0" collapsed="false">
      <c r="A13" s="54" t="n">
        <v>6</v>
      </c>
      <c r="B13" s="38" t="s">
        <v>43</v>
      </c>
      <c r="C13" s="55" t="s">
        <v>135</v>
      </c>
      <c r="D13" s="56" t="s">
        <v>136</v>
      </c>
      <c r="E13" s="55"/>
      <c r="F13" s="38" t="s">
        <v>61</v>
      </c>
      <c r="G13" s="38"/>
    </row>
    <row r="14" customFormat="false" ht="42" hidden="false" customHeight="true" outlineLevel="0" collapsed="false">
      <c r="A14" s="51" t="n">
        <v>7</v>
      </c>
      <c r="B14" s="35" t="s">
        <v>43</v>
      </c>
      <c r="C14" s="52" t="s">
        <v>137</v>
      </c>
      <c r="D14" s="53" t="s">
        <v>138</v>
      </c>
      <c r="E14" s="52"/>
      <c r="F14" s="35" t="s">
        <v>61</v>
      </c>
      <c r="G14" s="35"/>
    </row>
    <row r="15" customFormat="false" ht="42" hidden="false" customHeight="true" outlineLevel="0" collapsed="false">
      <c r="A15" s="54" t="n">
        <v>8</v>
      </c>
      <c r="B15" s="38" t="s">
        <v>43</v>
      </c>
      <c r="C15" s="55" t="s">
        <v>139</v>
      </c>
      <c r="D15" s="56" t="s">
        <v>140</v>
      </c>
      <c r="E15" s="55"/>
      <c r="F15" s="38" t="s">
        <v>71</v>
      </c>
      <c r="G15" s="38"/>
    </row>
    <row r="16" customFormat="false" ht="42" hidden="false" customHeight="true" outlineLevel="0" collapsed="false">
      <c r="A16" s="51" t="n">
        <v>9</v>
      </c>
      <c r="B16" s="35" t="s">
        <v>43</v>
      </c>
      <c r="C16" s="52" t="s">
        <v>141</v>
      </c>
      <c r="D16" s="53" t="s">
        <v>142</v>
      </c>
      <c r="E16" s="52"/>
      <c r="F16" s="35" t="s">
        <v>61</v>
      </c>
      <c r="G16" s="35"/>
    </row>
    <row r="17" customFormat="false" ht="42" hidden="false" customHeight="true" outlineLevel="0" collapsed="false">
      <c r="A17" s="54" t="n">
        <v>10</v>
      </c>
      <c r="B17" s="38" t="s">
        <v>43</v>
      </c>
      <c r="C17" s="55" t="s">
        <v>143</v>
      </c>
      <c r="D17" s="56" t="s">
        <v>144</v>
      </c>
      <c r="E17" s="55"/>
      <c r="F17" s="38" t="s">
        <v>61</v>
      </c>
      <c r="G17" s="38"/>
    </row>
    <row r="18" customFormat="false" ht="21.75" hidden="false" customHeight="true" outlineLevel="0" collapsed="false">
      <c r="A18" s="50" t="s">
        <v>145</v>
      </c>
      <c r="B18" s="50"/>
      <c r="C18" s="50"/>
      <c r="D18" s="50"/>
      <c r="E18" s="50"/>
      <c r="F18" s="50"/>
      <c r="G18" s="50"/>
    </row>
    <row r="19" customFormat="false" ht="42" hidden="false" customHeight="true" outlineLevel="0" collapsed="false">
      <c r="A19" s="51" t="n">
        <v>11</v>
      </c>
      <c r="B19" s="35" t="s">
        <v>43</v>
      </c>
      <c r="C19" s="52" t="s">
        <v>146</v>
      </c>
      <c r="D19" s="53" t="s">
        <v>147</v>
      </c>
      <c r="E19" s="52"/>
      <c r="F19" s="35" t="s">
        <v>61</v>
      </c>
      <c r="G19" s="35"/>
    </row>
    <row r="20" customFormat="false" ht="42" hidden="false" customHeight="true" outlineLevel="0" collapsed="false">
      <c r="A20" s="54" t="n">
        <v>12</v>
      </c>
      <c r="B20" s="38" t="s">
        <v>43</v>
      </c>
      <c r="C20" s="55" t="s">
        <v>148</v>
      </c>
      <c r="D20" s="56" t="s">
        <v>149</v>
      </c>
      <c r="E20" s="55"/>
      <c r="F20" s="38" t="s">
        <v>61</v>
      </c>
      <c r="G20" s="38"/>
    </row>
    <row r="21" customFormat="false" ht="42" hidden="false" customHeight="true" outlineLevel="0" collapsed="false">
      <c r="A21" s="51" t="n">
        <v>13</v>
      </c>
      <c r="B21" s="35" t="s">
        <v>43</v>
      </c>
      <c r="C21" s="52" t="s">
        <v>150</v>
      </c>
      <c r="D21" s="53" t="s">
        <v>151</v>
      </c>
      <c r="E21" s="52"/>
      <c r="F21" s="35" t="s">
        <v>71</v>
      </c>
      <c r="G21" s="35"/>
    </row>
    <row r="22" customFormat="false" ht="21.75" hidden="false" customHeight="true" outlineLevel="0" collapsed="false">
      <c r="A22" s="50" t="s">
        <v>152</v>
      </c>
      <c r="B22" s="50"/>
      <c r="C22" s="50"/>
      <c r="D22" s="50"/>
      <c r="E22" s="50"/>
      <c r="F22" s="50"/>
      <c r="G22" s="50"/>
    </row>
    <row r="23" customFormat="false" ht="42" hidden="false" customHeight="true" outlineLevel="0" collapsed="false">
      <c r="A23" s="54" t="n">
        <v>14</v>
      </c>
      <c r="B23" s="38" t="s">
        <v>43</v>
      </c>
      <c r="C23" s="55" t="s">
        <v>153</v>
      </c>
      <c r="D23" s="56" t="s">
        <v>154</v>
      </c>
      <c r="E23" s="55"/>
      <c r="F23" s="38" t="s">
        <v>61</v>
      </c>
      <c r="G23" s="38"/>
    </row>
    <row r="24" customFormat="false" ht="42" hidden="false" customHeight="true" outlineLevel="0" collapsed="false">
      <c r="A24" s="51" t="n">
        <v>15</v>
      </c>
      <c r="B24" s="35" t="s">
        <v>43</v>
      </c>
      <c r="C24" s="52" t="s">
        <v>155</v>
      </c>
      <c r="D24" s="53" t="s">
        <v>156</v>
      </c>
      <c r="E24" s="52"/>
      <c r="F24" s="35" t="s">
        <v>61</v>
      </c>
      <c r="G24" s="35"/>
    </row>
    <row r="25" customFormat="false" ht="42" hidden="false" customHeight="true" outlineLevel="0" collapsed="false">
      <c r="A25" s="54" t="n">
        <v>16</v>
      </c>
      <c r="B25" s="38" t="s">
        <v>43</v>
      </c>
      <c r="C25" s="55" t="s">
        <v>150</v>
      </c>
      <c r="D25" s="56" t="s">
        <v>157</v>
      </c>
      <c r="E25" s="55"/>
      <c r="F25" s="38" t="s">
        <v>71</v>
      </c>
      <c r="G25" s="38"/>
    </row>
  </sheetData>
  <mergeCells count="6">
    <mergeCell ref="A2:G2"/>
    <mergeCell ref="A3:G3"/>
    <mergeCell ref="A4:G4"/>
    <mergeCell ref="A7:G7"/>
    <mergeCell ref="A18:G18"/>
    <mergeCell ref="A22:G22"/>
  </mergeCells>
  <conditionalFormatting sqref="B8:G25">
    <cfRule type="expression" priority="2" aboveAverage="0" equalAverage="0" bottom="0" percent="0" rank="0" text="" dxfId="0">
      <formula>$B8="Cumplido"</formula>
    </cfRule>
    <cfRule type="expression" priority="3" aboveAverage="0" equalAverage="0" bottom="0" percent="0" rank="0" text="" dxfId="1">
      <formula>$B8="En riesgo"</formula>
    </cfRule>
    <cfRule type="expression" priority="4" aboveAverage="0" equalAverage="0" bottom="0" percent="0" rank="0" text="" dxfId="2">
      <formula>$B8="N/A"</formula>
    </cfRule>
    <cfRule type="expression" priority="5" aboveAverage="0" equalAverage="0" bottom="0" percent="0" rank="0" text="" dxfId="3">
      <formula>$B8="Pendiente"</formula>
    </cfRule>
  </conditionalFormatting>
  <dataValidations count="4">
    <dataValidation allowBlank="true" error="Ingresa una fecha válida" errorStyle="stop" errorTitle="Fecha inválida" operator="between" showDropDown="false" showErrorMessage="true" showInputMessage="false" sqref="G8:G25" type="date">
      <formula1>0</formula1>
      <formula2>0</formula2>
    </dataValidation>
    <dataValidation allowBlank="true" error="Valor no válido" errorStyle="stop" errorTitle="Selecciona una opción" operator="between" showDropDown="false" showErrorMessage="true" showInputMessage="false" sqref="B8:B25" type="list">
      <formula1>"Pendiente,Cumplido,En riesgo,N/A"</formula1>
      <formula2>0</formula2>
    </dataValidation>
    <dataValidation allowBlank="true" errorStyle="stop" operator="between" showDropDown="false" showErrorMessage="false" showInputMessage="false" sqref="F8:F25" type="list">
      <formula1>"Cliente,Asesor,AGACE,Otro"</formula1>
      <formula2>0</formula2>
    </dataValidation>
    <dataValidation allowBlank="true" errorStyle="stop" operator="between" showDropDown="false" showErrorMessage="false" showInputMessage="false" sqref="E8:E25" type="list">
      <formula1>"Sin documento,Adjunto,No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18D"/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"/>
    <col collapsed="false" customWidth="true" hidden="false" outlineLevel="0" max="3" min="3" style="1" width="55"/>
    <col collapsed="false" customWidth="true" hidden="false" outlineLevel="0" max="4" min="4" style="1" width="22"/>
    <col collapsed="false" customWidth="true" hidden="false" outlineLevel="0" max="5" min="5" style="1" width="35"/>
    <col collapsed="false" customWidth="true" hidden="false" outlineLevel="0" max="6" min="6" style="1" width="18"/>
    <col collapsed="false" customWidth="true" hidden="false" outlineLevel="0" max="7" min="7" style="1" width="16"/>
  </cols>
  <sheetData>
    <row r="1" customFormat="false" ht="7.5" hidden="false" customHeight="true" outlineLevel="0" collapsed="false"/>
    <row r="2" customFormat="false" ht="36" hidden="false" customHeight="true" outlineLevel="0" collapsed="false">
      <c r="A2" s="57" t="s">
        <v>158</v>
      </c>
      <c r="B2" s="57"/>
      <c r="C2" s="57"/>
      <c r="D2" s="57"/>
      <c r="E2" s="57"/>
      <c r="F2" s="57"/>
      <c r="G2" s="57"/>
    </row>
    <row r="3" customFormat="false" ht="19.5" hidden="false" customHeight="true" outlineLevel="0" collapsed="false">
      <c r="A3" s="58" t="s">
        <v>159</v>
      </c>
      <c r="B3" s="58"/>
      <c r="C3" s="58"/>
      <c r="D3" s="58"/>
      <c r="E3" s="58"/>
      <c r="F3" s="58"/>
      <c r="G3" s="58"/>
    </row>
    <row r="4" customFormat="false" ht="19.5" hidden="false" customHeight="true" outlineLevel="0" collapsed="false">
      <c r="A4" s="59" t="s">
        <v>160</v>
      </c>
      <c r="B4" s="59"/>
      <c r="C4" s="59"/>
      <c r="D4" s="59"/>
      <c r="E4" s="59"/>
      <c r="F4" s="59"/>
      <c r="G4" s="59"/>
    </row>
    <row r="5" customFormat="false" ht="7.5" hidden="false" customHeight="true" outlineLevel="0" collapsed="false"/>
    <row r="6" customFormat="false" ht="25.5" hidden="false" customHeight="true" outlineLevel="0" collapsed="false">
      <c r="A6" s="49" t="s">
        <v>50</v>
      </c>
      <c r="B6" s="49" t="s">
        <v>51</v>
      </c>
      <c r="C6" s="49" t="s">
        <v>161</v>
      </c>
      <c r="D6" s="49" t="s">
        <v>162</v>
      </c>
      <c r="E6" s="49" t="s">
        <v>163</v>
      </c>
      <c r="F6" s="49" t="s">
        <v>55</v>
      </c>
      <c r="G6" s="49" t="s">
        <v>56</v>
      </c>
    </row>
    <row r="7" customFormat="false" ht="21.75" hidden="false" customHeight="true" outlineLevel="0" collapsed="false">
      <c r="A7" s="50" t="s">
        <v>164</v>
      </c>
      <c r="B7" s="50"/>
      <c r="C7" s="50"/>
      <c r="D7" s="50"/>
      <c r="E7" s="50"/>
      <c r="F7" s="50"/>
      <c r="G7" s="50"/>
    </row>
    <row r="8" customFormat="false" ht="48" hidden="false" customHeight="true" outlineLevel="0" collapsed="false">
      <c r="A8" s="51" t="n">
        <v>1</v>
      </c>
      <c r="B8" s="35" t="s">
        <v>43</v>
      </c>
      <c r="C8" s="52" t="s">
        <v>165</v>
      </c>
      <c r="D8" s="53" t="s">
        <v>166</v>
      </c>
      <c r="E8" s="52" t="s">
        <v>167</v>
      </c>
      <c r="F8" s="35" t="s">
        <v>61</v>
      </c>
      <c r="G8" s="35"/>
    </row>
    <row r="9" customFormat="false" ht="48" hidden="false" customHeight="true" outlineLevel="0" collapsed="false">
      <c r="A9" s="54" t="n">
        <v>2</v>
      </c>
      <c r="B9" s="38" t="s">
        <v>43</v>
      </c>
      <c r="C9" s="55" t="s">
        <v>168</v>
      </c>
      <c r="D9" s="56" t="s">
        <v>169</v>
      </c>
      <c r="E9" s="55" t="s">
        <v>170</v>
      </c>
      <c r="F9" s="38" t="s">
        <v>71</v>
      </c>
      <c r="G9" s="38"/>
    </row>
    <row r="10" customFormat="false" ht="48" hidden="false" customHeight="true" outlineLevel="0" collapsed="false">
      <c r="A10" s="51" t="n">
        <v>3</v>
      </c>
      <c r="B10" s="35" t="s">
        <v>43</v>
      </c>
      <c r="C10" s="52" t="s">
        <v>171</v>
      </c>
      <c r="D10" s="53" t="s">
        <v>172</v>
      </c>
      <c r="E10" s="52" t="s">
        <v>173</v>
      </c>
      <c r="F10" s="35" t="s">
        <v>71</v>
      </c>
      <c r="G10" s="35"/>
    </row>
    <row r="11" customFormat="false" ht="48" hidden="false" customHeight="true" outlineLevel="0" collapsed="false">
      <c r="A11" s="54" t="n">
        <v>4</v>
      </c>
      <c r="B11" s="38" t="s">
        <v>43</v>
      </c>
      <c r="C11" s="55" t="s">
        <v>174</v>
      </c>
      <c r="D11" s="56" t="s">
        <v>175</v>
      </c>
      <c r="E11" s="55" t="s">
        <v>176</v>
      </c>
      <c r="F11" s="38" t="s">
        <v>61</v>
      </c>
      <c r="G11" s="38"/>
    </row>
    <row r="12" customFormat="false" ht="48" hidden="false" customHeight="true" outlineLevel="0" collapsed="false">
      <c r="A12" s="51" t="n">
        <v>5</v>
      </c>
      <c r="B12" s="35" t="s">
        <v>43</v>
      </c>
      <c r="C12" s="52" t="s">
        <v>177</v>
      </c>
      <c r="D12" s="53" t="s">
        <v>178</v>
      </c>
      <c r="E12" s="52" t="s">
        <v>179</v>
      </c>
      <c r="F12" s="35" t="s">
        <v>61</v>
      </c>
      <c r="G12" s="35"/>
    </row>
    <row r="13" customFormat="false" ht="48" hidden="false" customHeight="true" outlineLevel="0" collapsed="false">
      <c r="A13" s="54" t="n">
        <v>6</v>
      </c>
      <c r="B13" s="38" t="s">
        <v>43</v>
      </c>
      <c r="C13" s="55" t="s">
        <v>180</v>
      </c>
      <c r="D13" s="56" t="s">
        <v>181</v>
      </c>
      <c r="E13" s="55" t="s">
        <v>182</v>
      </c>
      <c r="F13" s="38" t="s">
        <v>61</v>
      </c>
      <c r="G13" s="38"/>
    </row>
    <row r="14" customFormat="false" ht="48" hidden="false" customHeight="true" outlineLevel="0" collapsed="false">
      <c r="A14" s="51" t="n">
        <v>7</v>
      </c>
      <c r="B14" s="35" t="s">
        <v>43</v>
      </c>
      <c r="C14" s="52" t="s">
        <v>183</v>
      </c>
      <c r="D14" s="53" t="s">
        <v>184</v>
      </c>
      <c r="E14" s="52" t="s">
        <v>185</v>
      </c>
      <c r="F14" s="35" t="s">
        <v>71</v>
      </c>
      <c r="G14" s="35"/>
    </row>
    <row r="15" customFormat="false" ht="21.75" hidden="false" customHeight="true" outlineLevel="0" collapsed="false">
      <c r="A15" s="50" t="s">
        <v>186</v>
      </c>
      <c r="B15" s="50"/>
      <c r="C15" s="50"/>
      <c r="D15" s="50"/>
      <c r="E15" s="50"/>
      <c r="F15" s="50"/>
      <c r="G15" s="50"/>
    </row>
    <row r="16" customFormat="false" ht="48" hidden="false" customHeight="true" outlineLevel="0" collapsed="false">
      <c r="A16" s="54" t="n">
        <v>8</v>
      </c>
      <c r="B16" s="38" t="s">
        <v>43</v>
      </c>
      <c r="C16" s="55" t="s">
        <v>187</v>
      </c>
      <c r="D16" s="56" t="s">
        <v>188</v>
      </c>
      <c r="E16" s="55" t="s">
        <v>189</v>
      </c>
      <c r="F16" s="38" t="s">
        <v>61</v>
      </c>
      <c r="G16" s="38"/>
    </row>
    <row r="17" customFormat="false" ht="48" hidden="false" customHeight="true" outlineLevel="0" collapsed="false">
      <c r="A17" s="51" t="n">
        <v>9</v>
      </c>
      <c r="B17" s="35" t="s">
        <v>43</v>
      </c>
      <c r="C17" s="52" t="s">
        <v>190</v>
      </c>
      <c r="D17" s="53" t="s">
        <v>191</v>
      </c>
      <c r="E17" s="52" t="s">
        <v>192</v>
      </c>
      <c r="F17" s="35" t="s">
        <v>61</v>
      </c>
      <c r="G17" s="35"/>
    </row>
  </sheetData>
  <mergeCells count="5">
    <mergeCell ref="A2:G2"/>
    <mergeCell ref="A3:G3"/>
    <mergeCell ref="A4:G4"/>
    <mergeCell ref="A7:G7"/>
    <mergeCell ref="A15:G15"/>
  </mergeCells>
  <conditionalFormatting sqref="B8:G17">
    <cfRule type="expression" priority="2" aboveAverage="0" equalAverage="0" bottom="0" percent="0" rank="0" text="" dxfId="0">
      <formula>$B8="Cumplido"</formula>
    </cfRule>
    <cfRule type="expression" priority="3" aboveAverage="0" equalAverage="0" bottom="0" percent="0" rank="0" text="" dxfId="1">
      <formula>$B8="En riesgo"</formula>
    </cfRule>
    <cfRule type="expression" priority="4" aboveAverage="0" equalAverage="0" bottom="0" percent="0" rank="0" text="" dxfId="2">
      <formula>$B8="N/A"</formula>
    </cfRule>
    <cfRule type="expression" priority="5" aboveAverage="0" equalAverage="0" bottom="0" percent="0" rank="0" text="" dxfId="3">
      <formula>$B8="Pendiente"</formula>
    </cfRule>
  </conditionalFormatting>
  <dataValidations count="4">
    <dataValidation allowBlank="true" error="Valor no válido" errorStyle="stop" errorTitle="Selecciona una opción" operator="between" showDropDown="false" showErrorMessage="true" showInputMessage="false" sqref="B8:B17" type="list">
      <formula1>"Pendiente,Cumplido,En riesgo,N/A"</formula1>
      <formula2>0</formula2>
    </dataValidation>
    <dataValidation allowBlank="true" errorStyle="stop" operator="between" showDropDown="false" showErrorMessage="false" showInputMessage="false" sqref="F8:F17" type="list">
      <formula1>"Cliente,Asesor,AGACE/SE,Otro"</formula1>
      <formula2>0</formula2>
    </dataValidation>
    <dataValidation allowBlank="true" errorStyle="stop" operator="between" showDropDown="false" showErrorMessage="false" showInputMessage="false" sqref="E8:E17" type="list">
      <formula1>"Sin documento,Adjunto,No aplica"</formula1>
      <formula2>0</formula2>
    </dataValidation>
    <dataValidation allowBlank="true" errorStyle="stop" operator="between" showDropDown="false" showErrorMessage="false" showInputMessage="false" sqref="G8:G17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"/>
    <col collapsed="false" customWidth="true" hidden="false" outlineLevel="0" max="3" min="3" style="1" width="55"/>
    <col collapsed="false" customWidth="true" hidden="false" outlineLevel="0" max="4" min="4" style="1" width="22"/>
    <col collapsed="false" customWidth="true" hidden="false" outlineLevel="0" max="5" min="5" style="1" width="35"/>
    <col collapsed="false" customWidth="true" hidden="false" outlineLevel="0" max="6" min="6" style="1" width="18"/>
    <col collapsed="false" customWidth="true" hidden="false" outlineLevel="0" max="7" min="7" style="1" width="16"/>
  </cols>
  <sheetData>
    <row r="1" customFormat="false" ht="7.5" hidden="false" customHeight="true" outlineLevel="0" collapsed="false"/>
    <row r="2" customFormat="false" ht="36" hidden="false" customHeight="true" outlineLevel="0" collapsed="false">
      <c r="A2" s="57" t="s">
        <v>193</v>
      </c>
      <c r="B2" s="57"/>
      <c r="C2" s="57"/>
      <c r="D2" s="57"/>
      <c r="E2" s="57"/>
      <c r="F2" s="57"/>
      <c r="G2" s="57"/>
    </row>
    <row r="3" customFormat="false" ht="19.5" hidden="false" customHeight="true" outlineLevel="0" collapsed="false">
      <c r="A3" s="58" t="s">
        <v>194</v>
      </c>
      <c r="B3" s="58"/>
      <c r="C3" s="58"/>
      <c r="D3" s="58"/>
      <c r="E3" s="58"/>
      <c r="F3" s="58"/>
      <c r="G3" s="58"/>
    </row>
    <row r="4" customFormat="false" ht="19.5" hidden="false" customHeight="true" outlineLevel="0" collapsed="false">
      <c r="A4" s="59" t="s">
        <v>160</v>
      </c>
      <c r="B4" s="59"/>
      <c r="C4" s="59"/>
      <c r="D4" s="59"/>
      <c r="E4" s="59"/>
      <c r="F4" s="59"/>
      <c r="G4" s="59"/>
    </row>
    <row r="5" customFormat="false" ht="7.5" hidden="false" customHeight="true" outlineLevel="0" collapsed="false"/>
    <row r="6" customFormat="false" ht="25.5" hidden="false" customHeight="true" outlineLevel="0" collapsed="false">
      <c r="A6" s="49" t="s">
        <v>50</v>
      </c>
      <c r="B6" s="49" t="s">
        <v>51</v>
      </c>
      <c r="C6" s="49" t="s">
        <v>195</v>
      </c>
      <c r="D6" s="49" t="s">
        <v>162</v>
      </c>
      <c r="E6" s="49" t="s">
        <v>163</v>
      </c>
      <c r="F6" s="49" t="s">
        <v>55</v>
      </c>
      <c r="G6" s="49" t="s">
        <v>56</v>
      </c>
    </row>
    <row r="7" customFormat="false" ht="21.75" hidden="false" customHeight="true" outlineLevel="0" collapsed="false">
      <c r="A7" s="50" t="s">
        <v>196</v>
      </c>
      <c r="B7" s="50"/>
      <c r="C7" s="50"/>
      <c r="D7" s="50"/>
      <c r="E7" s="50"/>
      <c r="F7" s="50"/>
      <c r="G7" s="50"/>
    </row>
    <row r="8" customFormat="false" ht="27.75" hidden="false" customHeight="true" outlineLevel="0" collapsed="false">
      <c r="A8" s="60" t="s">
        <v>197</v>
      </c>
      <c r="B8" s="60"/>
      <c r="C8" s="60"/>
      <c r="D8" s="60"/>
      <c r="E8" s="60"/>
      <c r="F8" s="60"/>
      <c r="G8" s="60"/>
    </row>
    <row r="9" customFormat="false" ht="51.75" hidden="false" customHeight="true" outlineLevel="0" collapsed="false">
      <c r="A9" s="51" t="n">
        <v>1</v>
      </c>
      <c r="B9" s="35" t="s">
        <v>43</v>
      </c>
      <c r="C9" s="52" t="s">
        <v>198</v>
      </c>
      <c r="D9" s="53" t="s">
        <v>199</v>
      </c>
      <c r="E9" s="52" t="s">
        <v>200</v>
      </c>
      <c r="F9" s="35" t="s">
        <v>71</v>
      </c>
      <c r="G9" s="35"/>
    </row>
    <row r="10" customFormat="false" ht="51.75" hidden="false" customHeight="true" outlineLevel="0" collapsed="false">
      <c r="A10" s="54" t="n">
        <v>2</v>
      </c>
      <c r="B10" s="38" t="s">
        <v>43</v>
      </c>
      <c r="C10" s="55" t="s">
        <v>201</v>
      </c>
      <c r="D10" s="56" t="s">
        <v>202</v>
      </c>
      <c r="E10" s="55" t="s">
        <v>203</v>
      </c>
      <c r="F10" s="38" t="s">
        <v>71</v>
      </c>
      <c r="G10" s="38"/>
    </row>
    <row r="11" customFormat="false" ht="51.75" hidden="false" customHeight="true" outlineLevel="0" collapsed="false">
      <c r="A11" s="51" t="n">
        <v>3</v>
      </c>
      <c r="B11" s="35" t="s">
        <v>43</v>
      </c>
      <c r="C11" s="52" t="s">
        <v>204</v>
      </c>
      <c r="D11" s="53" t="s">
        <v>205</v>
      </c>
      <c r="E11" s="52" t="s">
        <v>206</v>
      </c>
      <c r="F11" s="35" t="s">
        <v>71</v>
      </c>
      <c r="G11" s="35"/>
    </row>
    <row r="12" customFormat="false" ht="51.75" hidden="false" customHeight="true" outlineLevel="0" collapsed="false">
      <c r="A12" s="54" t="n">
        <v>4</v>
      </c>
      <c r="B12" s="38" t="s">
        <v>43</v>
      </c>
      <c r="C12" s="55" t="s">
        <v>207</v>
      </c>
      <c r="D12" s="56" t="s">
        <v>208</v>
      </c>
      <c r="E12" s="55" t="s">
        <v>209</v>
      </c>
      <c r="F12" s="38" t="s">
        <v>61</v>
      </c>
      <c r="G12" s="38"/>
    </row>
    <row r="13" customFormat="false" ht="51.75" hidden="false" customHeight="true" outlineLevel="0" collapsed="false">
      <c r="A13" s="51" t="n">
        <v>5</v>
      </c>
      <c r="B13" s="35" t="s">
        <v>43</v>
      </c>
      <c r="C13" s="52" t="s">
        <v>210</v>
      </c>
      <c r="D13" s="53" t="s">
        <v>211</v>
      </c>
      <c r="E13" s="52" t="s">
        <v>212</v>
      </c>
      <c r="F13" s="35" t="s">
        <v>71</v>
      </c>
      <c r="G13" s="35"/>
    </row>
    <row r="14" customFormat="false" ht="51.75" hidden="false" customHeight="true" outlineLevel="0" collapsed="false">
      <c r="A14" s="54" t="n">
        <v>6</v>
      </c>
      <c r="B14" s="38" t="s">
        <v>43</v>
      </c>
      <c r="C14" s="55" t="s">
        <v>213</v>
      </c>
      <c r="D14" s="56" t="s">
        <v>214</v>
      </c>
      <c r="E14" s="55" t="s">
        <v>215</v>
      </c>
      <c r="F14" s="38" t="s">
        <v>61</v>
      </c>
      <c r="G14" s="38"/>
    </row>
    <row r="15" customFormat="false" ht="51.75" hidden="false" customHeight="true" outlineLevel="0" collapsed="false">
      <c r="A15" s="51" t="n">
        <v>7</v>
      </c>
      <c r="B15" s="35" t="s">
        <v>43</v>
      </c>
      <c r="C15" s="52" t="s">
        <v>216</v>
      </c>
      <c r="D15" s="53" t="s">
        <v>217</v>
      </c>
      <c r="E15" s="52" t="s">
        <v>218</v>
      </c>
      <c r="F15" s="35" t="s">
        <v>61</v>
      </c>
      <c r="G15" s="35"/>
    </row>
    <row r="16" customFormat="false" ht="51.75" hidden="false" customHeight="true" outlineLevel="0" collapsed="false">
      <c r="A16" s="54" t="n">
        <v>8</v>
      </c>
      <c r="B16" s="38" t="s">
        <v>43</v>
      </c>
      <c r="C16" s="55" t="s">
        <v>219</v>
      </c>
      <c r="D16" s="56" t="s">
        <v>220</v>
      </c>
      <c r="E16" s="55" t="s">
        <v>221</v>
      </c>
      <c r="F16" s="38" t="s">
        <v>61</v>
      </c>
      <c r="G16" s="38"/>
    </row>
    <row r="17" customFormat="false" ht="51.75" hidden="false" customHeight="true" outlineLevel="0" collapsed="false">
      <c r="A17" s="51" t="n">
        <v>9</v>
      </c>
      <c r="B17" s="35" t="s">
        <v>43</v>
      </c>
      <c r="C17" s="52" t="s">
        <v>222</v>
      </c>
      <c r="D17" s="53" t="s">
        <v>223</v>
      </c>
      <c r="E17" s="52" t="s">
        <v>224</v>
      </c>
      <c r="F17" s="35" t="s">
        <v>61</v>
      </c>
      <c r="G17" s="35"/>
    </row>
    <row r="18" customFormat="false" ht="51.75" hidden="false" customHeight="true" outlineLevel="0" collapsed="false">
      <c r="A18" s="54" t="n">
        <v>10</v>
      </c>
      <c r="B18" s="38" t="s">
        <v>43</v>
      </c>
      <c r="C18" s="55" t="s">
        <v>225</v>
      </c>
      <c r="D18" s="56" t="s">
        <v>226</v>
      </c>
      <c r="E18" s="55" t="s">
        <v>227</v>
      </c>
      <c r="F18" s="38" t="s">
        <v>71</v>
      </c>
      <c r="G18" s="38"/>
    </row>
  </sheetData>
  <mergeCells count="5">
    <mergeCell ref="A2:G2"/>
    <mergeCell ref="A3:G3"/>
    <mergeCell ref="A4:G4"/>
    <mergeCell ref="A7:G7"/>
    <mergeCell ref="A8:G8"/>
  </mergeCells>
  <conditionalFormatting sqref="B9:G18">
    <cfRule type="expression" priority="2" aboveAverage="0" equalAverage="0" bottom="0" percent="0" rank="0" text="" dxfId="0">
      <formula>$B9="Cumplido"</formula>
    </cfRule>
    <cfRule type="expression" priority="3" aboveAverage="0" equalAverage="0" bottom="0" percent="0" rank="0" text="" dxfId="1">
      <formula>$B9="En riesgo"</formula>
    </cfRule>
    <cfRule type="expression" priority="4" aboveAverage="0" equalAverage="0" bottom="0" percent="0" rank="0" text="" dxfId="2">
      <formula>$B9="N/A"</formula>
    </cfRule>
    <cfRule type="expression" priority="5" aboveAverage="0" equalAverage="0" bottom="0" percent="0" rank="0" text="" dxfId="3">
      <formula>$B9="Pendiente"</formula>
    </cfRule>
  </conditionalFormatting>
  <dataValidations count="4">
    <dataValidation allowBlank="true" errorStyle="stop" operator="between" showDropDown="false" showErrorMessage="false" showInputMessage="false" sqref="G9:G18" type="date">
      <formula1>0</formula1>
      <formula2>0</formula2>
    </dataValidation>
    <dataValidation allowBlank="true" error="Valor no válido" errorStyle="stop" errorTitle="Selecciona una opción" operator="between" showDropDown="false" showErrorMessage="true" showInputMessage="false" sqref="B9:B18" type="list">
      <formula1>"Pendiente,Cumplido,En riesgo,N/A"</formula1>
      <formula2>0</formula2>
    </dataValidation>
    <dataValidation allowBlank="true" errorStyle="stop" operator="between" showDropDown="false" showErrorMessage="false" showInputMessage="false" sqref="F9:F18" type="list">
      <formula1>"Cliente,Asesor,AGACE/SE,Otro"</formula1>
      <formula2>0</formula2>
    </dataValidation>
    <dataValidation allowBlank="true" errorStyle="stop" operator="between" showDropDown="false" showErrorMessage="false" showInputMessage="false" sqref="E9:E18" type="list">
      <formula1>"Sin documento,Adjunto,No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7A65"/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"/>
    <col collapsed="false" customWidth="true" hidden="false" outlineLevel="0" max="3" min="3" style="1" width="55"/>
    <col collapsed="false" customWidth="true" hidden="false" outlineLevel="0" max="4" min="4" style="1" width="22"/>
    <col collapsed="false" customWidth="true" hidden="false" outlineLevel="0" max="5" min="5" style="1" width="35"/>
    <col collapsed="false" customWidth="true" hidden="false" outlineLevel="0" max="6" min="6" style="1" width="18"/>
    <col collapsed="false" customWidth="true" hidden="false" outlineLevel="0" max="7" min="7" style="1" width="16"/>
  </cols>
  <sheetData>
    <row r="1" customFormat="false" ht="7.5" hidden="false" customHeight="true" outlineLevel="0" collapsed="false"/>
    <row r="2" customFormat="false" ht="36" hidden="false" customHeight="true" outlineLevel="0" collapsed="false">
      <c r="A2" s="57" t="s">
        <v>228</v>
      </c>
      <c r="B2" s="57"/>
      <c r="C2" s="57"/>
      <c r="D2" s="57"/>
      <c r="E2" s="57"/>
      <c r="F2" s="57"/>
      <c r="G2" s="57"/>
    </row>
    <row r="3" customFormat="false" ht="19.5" hidden="false" customHeight="true" outlineLevel="0" collapsed="false">
      <c r="A3" s="58" t="s">
        <v>229</v>
      </c>
      <c r="B3" s="58"/>
      <c r="C3" s="58"/>
      <c r="D3" s="58"/>
      <c r="E3" s="58"/>
      <c r="F3" s="58"/>
      <c r="G3" s="58"/>
    </row>
    <row r="4" customFormat="false" ht="19.5" hidden="false" customHeight="true" outlineLevel="0" collapsed="false">
      <c r="A4" s="59" t="s">
        <v>160</v>
      </c>
      <c r="B4" s="59"/>
      <c r="C4" s="59"/>
      <c r="D4" s="59"/>
      <c r="E4" s="59"/>
      <c r="F4" s="59"/>
      <c r="G4" s="59"/>
    </row>
    <row r="5" customFormat="false" ht="7.5" hidden="false" customHeight="true" outlineLevel="0" collapsed="false"/>
    <row r="6" customFormat="false" ht="25.5" hidden="false" customHeight="true" outlineLevel="0" collapsed="false">
      <c r="A6" s="49" t="s">
        <v>50</v>
      </c>
      <c r="B6" s="49" t="s">
        <v>51</v>
      </c>
      <c r="C6" s="49" t="s">
        <v>161</v>
      </c>
      <c r="D6" s="49" t="s">
        <v>162</v>
      </c>
      <c r="E6" s="49" t="s">
        <v>163</v>
      </c>
      <c r="F6" s="49" t="s">
        <v>55</v>
      </c>
      <c r="G6" s="49" t="s">
        <v>56</v>
      </c>
    </row>
    <row r="7" customFormat="false" ht="21.75" hidden="false" customHeight="true" outlineLevel="0" collapsed="false">
      <c r="A7" s="50" t="s">
        <v>230</v>
      </c>
      <c r="B7" s="50"/>
      <c r="C7" s="50"/>
      <c r="D7" s="50"/>
      <c r="E7" s="50"/>
      <c r="F7" s="50"/>
      <c r="G7" s="50"/>
    </row>
    <row r="8" customFormat="false" ht="27.75" hidden="false" customHeight="true" outlineLevel="0" collapsed="false">
      <c r="A8" s="60" t="s">
        <v>231</v>
      </c>
      <c r="B8" s="60"/>
      <c r="C8" s="60"/>
      <c r="D8" s="60"/>
      <c r="E8" s="60"/>
      <c r="F8" s="60"/>
      <c r="G8" s="60"/>
    </row>
    <row r="9" customFormat="false" ht="48" hidden="false" customHeight="true" outlineLevel="0" collapsed="false">
      <c r="A9" s="51" t="n">
        <v>1</v>
      </c>
      <c r="B9" s="35" t="s">
        <v>43</v>
      </c>
      <c r="C9" s="52" t="s">
        <v>232</v>
      </c>
      <c r="D9" s="53" t="s">
        <v>233</v>
      </c>
      <c r="E9" s="52" t="s">
        <v>234</v>
      </c>
      <c r="F9" s="35" t="s">
        <v>61</v>
      </c>
      <c r="G9" s="35"/>
    </row>
    <row r="10" customFormat="false" ht="48" hidden="false" customHeight="true" outlineLevel="0" collapsed="false">
      <c r="A10" s="54" t="n">
        <v>2</v>
      </c>
      <c r="B10" s="38" t="s">
        <v>43</v>
      </c>
      <c r="C10" s="55" t="s">
        <v>235</v>
      </c>
      <c r="D10" s="56" t="s">
        <v>236</v>
      </c>
      <c r="E10" s="55" t="s">
        <v>237</v>
      </c>
      <c r="F10" s="38" t="s">
        <v>61</v>
      </c>
      <c r="G10" s="38"/>
    </row>
    <row r="11" customFormat="false" ht="48" hidden="false" customHeight="true" outlineLevel="0" collapsed="false">
      <c r="A11" s="51" t="n">
        <v>3</v>
      </c>
      <c r="B11" s="35" t="s">
        <v>43</v>
      </c>
      <c r="C11" s="52" t="s">
        <v>238</v>
      </c>
      <c r="D11" s="53" t="s">
        <v>175</v>
      </c>
      <c r="E11" s="52" t="s">
        <v>239</v>
      </c>
      <c r="F11" s="35" t="s">
        <v>61</v>
      </c>
      <c r="G11" s="35"/>
    </row>
    <row r="12" customFormat="false" ht="48" hidden="false" customHeight="true" outlineLevel="0" collapsed="false">
      <c r="A12" s="54" t="n">
        <v>4</v>
      </c>
      <c r="B12" s="38" t="s">
        <v>43</v>
      </c>
      <c r="C12" s="55" t="s">
        <v>240</v>
      </c>
      <c r="D12" s="56" t="s">
        <v>241</v>
      </c>
      <c r="E12" s="55" t="s">
        <v>242</v>
      </c>
      <c r="F12" s="38" t="s">
        <v>71</v>
      </c>
      <c r="G12" s="38"/>
    </row>
    <row r="13" customFormat="false" ht="21.75" hidden="false" customHeight="true" outlineLevel="0" collapsed="false">
      <c r="A13" s="50" t="s">
        <v>243</v>
      </c>
      <c r="B13" s="50"/>
      <c r="C13" s="50"/>
      <c r="D13" s="50"/>
      <c r="E13" s="50"/>
      <c r="F13" s="50"/>
      <c r="G13" s="50"/>
    </row>
    <row r="14" customFormat="false" ht="48" hidden="false" customHeight="true" outlineLevel="0" collapsed="false">
      <c r="A14" s="51" t="n">
        <v>5</v>
      </c>
      <c r="B14" s="35" t="s">
        <v>43</v>
      </c>
      <c r="C14" s="52" t="s">
        <v>244</v>
      </c>
      <c r="D14" s="53" t="s">
        <v>245</v>
      </c>
      <c r="E14" s="52" t="s">
        <v>246</v>
      </c>
      <c r="F14" s="35" t="s">
        <v>71</v>
      </c>
      <c r="G14" s="35"/>
    </row>
    <row r="15" customFormat="false" ht="48" hidden="false" customHeight="true" outlineLevel="0" collapsed="false">
      <c r="A15" s="54" t="n">
        <v>6</v>
      </c>
      <c r="B15" s="38" t="s">
        <v>43</v>
      </c>
      <c r="C15" s="55" t="s">
        <v>247</v>
      </c>
      <c r="D15" s="56" t="s">
        <v>248</v>
      </c>
      <c r="E15" s="55" t="s">
        <v>249</v>
      </c>
      <c r="F15" s="38" t="s">
        <v>71</v>
      </c>
      <c r="G15" s="38"/>
    </row>
  </sheetData>
  <mergeCells count="6">
    <mergeCell ref="A2:G2"/>
    <mergeCell ref="A3:G3"/>
    <mergeCell ref="A4:G4"/>
    <mergeCell ref="A7:G7"/>
    <mergeCell ref="A8:G8"/>
    <mergeCell ref="A13:G13"/>
  </mergeCells>
  <conditionalFormatting sqref="B9:G15">
    <cfRule type="expression" priority="2" aboveAverage="0" equalAverage="0" bottom="0" percent="0" rank="0" text="" dxfId="0">
      <formula>$B9="Cumplido"</formula>
    </cfRule>
    <cfRule type="expression" priority="3" aboveAverage="0" equalAverage="0" bottom="0" percent="0" rank="0" text="" dxfId="1">
      <formula>$B9="En riesgo"</formula>
    </cfRule>
    <cfRule type="expression" priority="4" aboveAverage="0" equalAverage="0" bottom="0" percent="0" rank="0" text="" dxfId="2">
      <formula>$B9="N/A"</formula>
    </cfRule>
    <cfRule type="expression" priority="5" aboveAverage="0" equalAverage="0" bottom="0" percent="0" rank="0" text="" dxfId="3">
      <formula>$B9="Pendiente"</formula>
    </cfRule>
  </conditionalFormatting>
  <dataValidations count="4">
    <dataValidation allowBlank="true" errorStyle="stop" operator="between" showDropDown="false" showErrorMessage="false" showInputMessage="false" sqref="G9:G15" type="date">
      <formula1>0</formula1>
      <formula2>0</formula2>
    </dataValidation>
    <dataValidation allowBlank="true" error="Valor no válido" errorStyle="stop" errorTitle="Selecciona una opción" operator="between" showDropDown="false" showErrorMessage="true" showInputMessage="false" sqref="B9:B15" type="list">
      <formula1>"Pendiente,Cumplido,En riesgo,N/A"</formula1>
      <formula2>0</formula2>
    </dataValidation>
    <dataValidation allowBlank="true" errorStyle="stop" operator="between" showDropDown="false" showErrorMessage="false" showInputMessage="false" sqref="F9:F15" type="list">
      <formula1>"Cliente,Asesor,AGACE/SE,Otro"</formula1>
      <formula2>0</formula2>
    </dataValidation>
    <dataValidation allowBlank="true" errorStyle="stop" operator="between" showDropDown="false" showErrorMessage="false" showInputMessage="false" sqref="E9:E15" type="list">
      <formula1>"Sin documento,Adjunto,No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D3C98"/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"/>
    <col collapsed="false" customWidth="true" hidden="false" outlineLevel="0" max="3" min="3" style="1" width="55"/>
    <col collapsed="false" customWidth="true" hidden="false" outlineLevel="0" max="4" min="4" style="1" width="22"/>
    <col collapsed="false" customWidth="true" hidden="false" outlineLevel="0" max="5" min="5" style="1" width="28"/>
    <col collapsed="false" customWidth="true" hidden="false" outlineLevel="0" max="6" min="6" style="1" width="18"/>
    <col collapsed="false" customWidth="true" hidden="false" outlineLevel="0" max="7" min="7" style="1" width="16"/>
  </cols>
  <sheetData>
    <row r="1" customFormat="false" ht="7.5" hidden="false" customHeight="true" outlineLevel="0" collapsed="false"/>
    <row r="2" customFormat="false" ht="36" hidden="false" customHeight="true" outlineLevel="0" collapsed="false">
      <c r="A2" s="47" t="s">
        <v>250</v>
      </c>
      <c r="B2" s="47"/>
      <c r="C2" s="47"/>
      <c r="D2" s="47"/>
      <c r="E2" s="47"/>
      <c r="F2" s="47"/>
      <c r="G2" s="47"/>
    </row>
    <row r="3" customFormat="false" ht="19.5" hidden="false" customHeight="true" outlineLevel="0" collapsed="false">
      <c r="A3" s="6" t="s">
        <v>251</v>
      </c>
      <c r="B3" s="6"/>
      <c r="C3" s="6"/>
      <c r="D3" s="6"/>
      <c r="E3" s="6"/>
      <c r="F3" s="6"/>
      <c r="G3" s="6"/>
    </row>
    <row r="4" customFormat="false" ht="19.5" hidden="false" customHeight="true" outlineLevel="0" collapsed="false">
      <c r="A4" s="48" t="s">
        <v>49</v>
      </c>
      <c r="B4" s="48"/>
      <c r="C4" s="48"/>
      <c r="D4" s="48"/>
      <c r="E4" s="48"/>
      <c r="F4" s="48"/>
      <c r="G4" s="48"/>
    </row>
    <row r="5" customFormat="false" ht="7.5" hidden="false" customHeight="true" outlineLevel="0" collapsed="false"/>
    <row r="6" customFormat="false" ht="25.5" hidden="false" customHeight="true" outlineLevel="0" collapsed="false">
      <c r="A6" s="49" t="s">
        <v>50</v>
      </c>
      <c r="B6" s="49" t="s">
        <v>51</v>
      </c>
      <c r="C6" s="49" t="s">
        <v>52</v>
      </c>
      <c r="D6" s="49" t="s">
        <v>53</v>
      </c>
      <c r="E6" s="49" t="s">
        <v>54</v>
      </c>
      <c r="F6" s="49" t="s">
        <v>55</v>
      </c>
      <c r="G6" s="49" t="s">
        <v>56</v>
      </c>
    </row>
    <row r="7" customFormat="false" ht="21.75" hidden="false" customHeight="true" outlineLevel="0" collapsed="false">
      <c r="A7" s="50" t="s">
        <v>252</v>
      </c>
      <c r="B7" s="50"/>
      <c r="C7" s="50"/>
      <c r="D7" s="50"/>
      <c r="E7" s="50"/>
      <c r="F7" s="50"/>
      <c r="G7" s="50"/>
    </row>
    <row r="8" customFormat="false" ht="42" hidden="false" customHeight="true" outlineLevel="0" collapsed="false">
      <c r="A8" s="51" t="n">
        <v>1</v>
      </c>
      <c r="B8" s="35" t="s">
        <v>43</v>
      </c>
      <c r="C8" s="52" t="s">
        <v>253</v>
      </c>
      <c r="D8" s="53" t="s">
        <v>254</v>
      </c>
      <c r="E8" s="52"/>
      <c r="F8" s="35" t="s">
        <v>71</v>
      </c>
      <c r="G8" s="35"/>
    </row>
    <row r="9" customFormat="false" ht="42" hidden="false" customHeight="true" outlineLevel="0" collapsed="false">
      <c r="A9" s="54" t="n">
        <v>2</v>
      </c>
      <c r="B9" s="38" t="s">
        <v>43</v>
      </c>
      <c r="C9" s="55" t="s">
        <v>255</v>
      </c>
      <c r="D9" s="56" t="s">
        <v>256</v>
      </c>
      <c r="E9" s="55"/>
      <c r="F9" s="38" t="s">
        <v>61</v>
      </c>
      <c r="G9" s="38"/>
    </row>
    <row r="10" customFormat="false" ht="42" hidden="false" customHeight="true" outlineLevel="0" collapsed="false">
      <c r="A10" s="51" t="n">
        <v>3</v>
      </c>
      <c r="B10" s="35" t="s">
        <v>43</v>
      </c>
      <c r="C10" s="52" t="s">
        <v>257</v>
      </c>
      <c r="D10" s="53" t="s">
        <v>258</v>
      </c>
      <c r="E10" s="52" t="s">
        <v>259</v>
      </c>
      <c r="F10" s="35" t="s">
        <v>61</v>
      </c>
      <c r="G10" s="35"/>
    </row>
    <row r="11" customFormat="false" ht="42" hidden="false" customHeight="true" outlineLevel="0" collapsed="false">
      <c r="A11" s="54" t="n">
        <v>4</v>
      </c>
      <c r="B11" s="38" t="s">
        <v>43</v>
      </c>
      <c r="C11" s="55" t="s">
        <v>260</v>
      </c>
      <c r="D11" s="56" t="s">
        <v>261</v>
      </c>
      <c r="E11" s="55" t="s">
        <v>262</v>
      </c>
      <c r="F11" s="38" t="s">
        <v>61</v>
      </c>
      <c r="G11" s="38"/>
    </row>
    <row r="12" customFormat="false" ht="42" hidden="false" customHeight="true" outlineLevel="0" collapsed="false">
      <c r="A12" s="51" t="n">
        <v>5</v>
      </c>
      <c r="B12" s="35" t="s">
        <v>43</v>
      </c>
      <c r="C12" s="52" t="s">
        <v>263</v>
      </c>
      <c r="D12" s="53" t="s">
        <v>264</v>
      </c>
      <c r="E12" s="52"/>
      <c r="F12" s="35" t="s">
        <v>61</v>
      </c>
      <c r="G12" s="35"/>
    </row>
    <row r="13" customFormat="false" ht="42" hidden="false" customHeight="true" outlineLevel="0" collapsed="false">
      <c r="A13" s="54" t="n">
        <v>6</v>
      </c>
      <c r="B13" s="38" t="s">
        <v>43</v>
      </c>
      <c r="C13" s="55" t="s">
        <v>265</v>
      </c>
      <c r="D13" s="56" t="s">
        <v>266</v>
      </c>
      <c r="E13" s="55" t="s">
        <v>267</v>
      </c>
      <c r="F13" s="38" t="s">
        <v>61</v>
      </c>
      <c r="G13" s="38"/>
    </row>
    <row r="14" customFormat="false" ht="21.75" hidden="false" customHeight="true" outlineLevel="0" collapsed="false">
      <c r="A14" s="50" t="s">
        <v>268</v>
      </c>
      <c r="B14" s="50"/>
      <c r="C14" s="50"/>
      <c r="D14" s="50"/>
      <c r="E14" s="50"/>
      <c r="F14" s="50"/>
      <c r="G14" s="50"/>
    </row>
    <row r="15" customFormat="false" ht="42" hidden="false" customHeight="true" outlineLevel="0" collapsed="false">
      <c r="A15" s="51" t="n">
        <v>7</v>
      </c>
      <c r="B15" s="35" t="s">
        <v>43</v>
      </c>
      <c r="C15" s="52" t="s">
        <v>269</v>
      </c>
      <c r="D15" s="53" t="s">
        <v>270</v>
      </c>
      <c r="E15" s="52" t="s">
        <v>271</v>
      </c>
      <c r="F15" s="35" t="s">
        <v>61</v>
      </c>
      <c r="G15" s="35"/>
    </row>
    <row r="16" customFormat="false" ht="42" hidden="false" customHeight="true" outlineLevel="0" collapsed="false">
      <c r="A16" s="54" t="n">
        <v>8</v>
      </c>
      <c r="B16" s="38" t="s">
        <v>43</v>
      </c>
      <c r="C16" s="55" t="s">
        <v>272</v>
      </c>
      <c r="D16" s="56" t="s">
        <v>273</v>
      </c>
      <c r="E16" s="55" t="s">
        <v>274</v>
      </c>
      <c r="F16" s="38" t="s">
        <v>61</v>
      </c>
      <c r="G16" s="38"/>
    </row>
    <row r="17" customFormat="false" ht="42" hidden="false" customHeight="true" outlineLevel="0" collapsed="false">
      <c r="A17" s="51" t="n">
        <v>9</v>
      </c>
      <c r="B17" s="35" t="s">
        <v>43</v>
      </c>
      <c r="C17" s="52" t="s">
        <v>275</v>
      </c>
      <c r="D17" s="53" t="s">
        <v>276</v>
      </c>
      <c r="E17" s="52" t="s">
        <v>277</v>
      </c>
      <c r="F17" s="35" t="s">
        <v>61</v>
      </c>
      <c r="G17" s="35"/>
    </row>
    <row r="18" customFormat="false" ht="42" hidden="false" customHeight="true" outlineLevel="0" collapsed="false">
      <c r="A18" s="54" t="n">
        <v>10</v>
      </c>
      <c r="B18" s="38" t="s">
        <v>43</v>
      </c>
      <c r="C18" s="55" t="s">
        <v>278</v>
      </c>
      <c r="D18" s="56" t="s">
        <v>279</v>
      </c>
      <c r="E18" s="55" t="s">
        <v>280</v>
      </c>
      <c r="F18" s="38" t="s">
        <v>71</v>
      </c>
      <c r="G18" s="38"/>
    </row>
    <row r="19" customFormat="false" ht="42" hidden="false" customHeight="true" outlineLevel="0" collapsed="false">
      <c r="A19" s="51" t="n">
        <v>11</v>
      </c>
      <c r="B19" s="35" t="s">
        <v>43</v>
      </c>
      <c r="C19" s="52" t="s">
        <v>281</v>
      </c>
      <c r="D19" s="53" t="s">
        <v>282</v>
      </c>
      <c r="E19" s="52" t="s">
        <v>283</v>
      </c>
      <c r="F19" s="35" t="s">
        <v>71</v>
      </c>
      <c r="G19" s="35"/>
    </row>
    <row r="20" customFormat="false" ht="21.75" hidden="false" customHeight="true" outlineLevel="0" collapsed="false">
      <c r="A20" s="46"/>
      <c r="B20" s="46"/>
      <c r="C20" s="46"/>
      <c r="D20" s="46"/>
      <c r="E20" s="46"/>
      <c r="F20" s="46"/>
      <c r="G20" s="46"/>
    </row>
    <row r="21" customFormat="false" ht="42" hidden="false" customHeight="true" outlineLevel="0" collapsed="false"/>
    <row r="22" customFormat="false" ht="42" hidden="false" customHeight="true" outlineLevel="0" collapsed="false"/>
    <row r="23" customFormat="false" ht="42" hidden="false" customHeight="true" outlineLevel="0" collapsed="false"/>
    <row r="24" customFormat="false" ht="42" hidden="false" customHeight="true" outlineLevel="0" collapsed="false"/>
    <row r="25" customFormat="false" ht="42" hidden="false" customHeight="true" outlineLevel="0" collapsed="false"/>
    <row r="26" customFormat="false" ht="42" hidden="false" customHeight="true" outlineLevel="0" collapsed="false"/>
    <row r="27" customFormat="false" ht="42" hidden="false" customHeight="true" outlineLevel="0" collapsed="false"/>
  </sheetData>
  <mergeCells count="6">
    <mergeCell ref="A2:G2"/>
    <mergeCell ref="A3:G3"/>
    <mergeCell ref="A4:G4"/>
    <mergeCell ref="A7:G7"/>
    <mergeCell ref="A14:G14"/>
    <mergeCell ref="A20:G20"/>
  </mergeCells>
  <conditionalFormatting sqref="B8:G27">
    <cfRule type="expression" priority="2" aboveAverage="0" equalAverage="0" bottom="0" percent="0" rank="0" text="" dxfId="0">
      <formula>$B8="Cumplido"</formula>
    </cfRule>
    <cfRule type="expression" priority="3" aboveAverage="0" equalAverage="0" bottom="0" percent="0" rank="0" text="" dxfId="1">
      <formula>$B8="En riesgo"</formula>
    </cfRule>
    <cfRule type="expression" priority="4" aboveAverage="0" equalAverage="0" bottom="0" percent="0" rank="0" text="" dxfId="2">
      <formula>$B8="N/A"</formula>
    </cfRule>
    <cfRule type="expression" priority="5" aboveAverage="0" equalAverage="0" bottom="0" percent="0" rank="0" text="" dxfId="3">
      <formula>$B8="Pendiente"</formula>
    </cfRule>
  </conditionalFormatting>
  <dataValidations count="4">
    <dataValidation allowBlank="true" error="Ingresa una fecha válida" errorStyle="stop" errorTitle="Fecha inválida" operator="between" showDropDown="false" showErrorMessage="true" showInputMessage="false" sqref="G8:G27" type="date">
      <formula1>0</formula1>
      <formula2>0</formula2>
    </dataValidation>
    <dataValidation allowBlank="true" error="Valor no válido" errorStyle="stop" errorTitle="Selecciona una opción" operator="between" showDropDown="false" showErrorMessage="true" showInputMessage="false" sqref="B8:B27" type="list">
      <formula1>"Pendiente,Cumplido,En riesgo,N/A"</formula1>
      <formula2>0</formula2>
    </dataValidation>
    <dataValidation allowBlank="true" errorStyle="stop" operator="between" showDropDown="false" showErrorMessage="false" showInputMessage="false" sqref="F8:F27" type="list">
      <formula1>"Cliente,Asesor,AGACE,Otro"</formula1>
      <formula2>0</formula2>
    </dataValidation>
    <dataValidation allowBlank="true" errorStyle="stop" operator="between" showDropDown="false" showErrorMessage="false" showInputMessage="false" sqref="E8:E27" type="list">
      <formula1>"Sin documento,Adjunto,No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8910"/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"/>
    <col collapsed="false" customWidth="true" hidden="false" outlineLevel="0" max="3" min="3" style="1" width="55"/>
    <col collapsed="false" customWidth="true" hidden="false" outlineLevel="0" max="4" min="4" style="1" width="22"/>
    <col collapsed="false" customWidth="true" hidden="false" outlineLevel="0" max="5" min="5" style="1" width="28"/>
    <col collapsed="false" customWidth="true" hidden="false" outlineLevel="0" max="6" min="6" style="1" width="18"/>
    <col collapsed="false" customWidth="true" hidden="false" outlineLevel="0" max="7" min="7" style="1" width="16"/>
  </cols>
  <sheetData>
    <row r="1" customFormat="false" ht="7.5" hidden="false" customHeight="true" outlineLevel="0" collapsed="false"/>
    <row r="2" customFormat="false" ht="36" hidden="false" customHeight="true" outlineLevel="0" collapsed="false">
      <c r="A2" s="47" t="s">
        <v>284</v>
      </c>
      <c r="B2" s="47"/>
      <c r="C2" s="47"/>
      <c r="D2" s="47"/>
      <c r="E2" s="47"/>
      <c r="F2" s="47"/>
      <c r="G2" s="47"/>
    </row>
    <row r="3" customFormat="false" ht="19.5" hidden="false" customHeight="true" outlineLevel="0" collapsed="false">
      <c r="A3" s="6" t="s">
        <v>285</v>
      </c>
      <c r="B3" s="6"/>
      <c r="C3" s="6"/>
      <c r="D3" s="6"/>
      <c r="E3" s="6"/>
      <c r="F3" s="6"/>
      <c r="G3" s="6"/>
    </row>
    <row r="4" customFormat="false" ht="19.5" hidden="false" customHeight="true" outlineLevel="0" collapsed="false">
      <c r="A4" s="48" t="s">
        <v>49</v>
      </c>
      <c r="B4" s="48"/>
      <c r="C4" s="48"/>
      <c r="D4" s="48"/>
      <c r="E4" s="48"/>
      <c r="F4" s="48"/>
      <c r="G4" s="48"/>
    </row>
    <row r="5" customFormat="false" ht="7.5" hidden="false" customHeight="true" outlineLevel="0" collapsed="false"/>
    <row r="6" customFormat="false" ht="25.5" hidden="false" customHeight="true" outlineLevel="0" collapsed="false">
      <c r="A6" s="49" t="s">
        <v>50</v>
      </c>
      <c r="B6" s="49" t="s">
        <v>51</v>
      </c>
      <c r="C6" s="49" t="s">
        <v>52</v>
      </c>
      <c r="D6" s="49" t="s">
        <v>53</v>
      </c>
      <c r="E6" s="49" t="s">
        <v>54</v>
      </c>
      <c r="F6" s="49" t="s">
        <v>55</v>
      </c>
      <c r="G6" s="49" t="s">
        <v>56</v>
      </c>
    </row>
    <row r="7" customFormat="false" ht="21.75" hidden="false" customHeight="true" outlineLevel="0" collapsed="false">
      <c r="A7" s="50" t="s">
        <v>286</v>
      </c>
      <c r="B7" s="50"/>
      <c r="C7" s="50"/>
      <c r="D7" s="50"/>
      <c r="E7" s="50"/>
      <c r="F7" s="50"/>
      <c r="G7" s="50"/>
    </row>
    <row r="8" customFormat="false" ht="27.75" hidden="false" customHeight="true" outlineLevel="0" collapsed="false">
      <c r="A8" s="60" t="s">
        <v>287</v>
      </c>
      <c r="B8" s="60"/>
      <c r="C8" s="60"/>
      <c r="D8" s="60"/>
      <c r="E8" s="60"/>
      <c r="F8" s="60"/>
      <c r="G8" s="60"/>
    </row>
    <row r="9" customFormat="false" ht="42" hidden="false" customHeight="true" outlineLevel="0" collapsed="false">
      <c r="A9" s="51" t="n">
        <v>1</v>
      </c>
      <c r="B9" s="35" t="s">
        <v>43</v>
      </c>
      <c r="C9" s="52" t="s">
        <v>288</v>
      </c>
      <c r="D9" s="53" t="s">
        <v>289</v>
      </c>
      <c r="E9" s="52"/>
      <c r="F9" s="35" t="s">
        <v>71</v>
      </c>
      <c r="G9" s="35"/>
    </row>
    <row r="10" customFormat="false" ht="42" hidden="false" customHeight="true" outlineLevel="0" collapsed="false">
      <c r="A10" s="54" t="n">
        <v>2</v>
      </c>
      <c r="B10" s="38" t="s">
        <v>43</v>
      </c>
      <c r="C10" s="55" t="s">
        <v>290</v>
      </c>
      <c r="D10" s="56" t="s">
        <v>291</v>
      </c>
      <c r="E10" s="55" t="s">
        <v>292</v>
      </c>
      <c r="F10" s="38" t="s">
        <v>61</v>
      </c>
      <c r="G10" s="38"/>
    </row>
    <row r="11" customFormat="false" ht="42" hidden="false" customHeight="true" outlineLevel="0" collapsed="false">
      <c r="A11" s="51" t="n">
        <v>3</v>
      </c>
      <c r="B11" s="35" t="s">
        <v>43</v>
      </c>
      <c r="C11" s="52" t="s">
        <v>293</v>
      </c>
      <c r="D11" s="53" t="s">
        <v>294</v>
      </c>
      <c r="E11" s="52" t="s">
        <v>295</v>
      </c>
      <c r="F11" s="35" t="s">
        <v>71</v>
      </c>
      <c r="G11" s="35"/>
    </row>
    <row r="12" customFormat="false" ht="42" hidden="false" customHeight="true" outlineLevel="0" collapsed="false">
      <c r="A12" s="54" t="n">
        <v>4</v>
      </c>
      <c r="B12" s="38" t="s">
        <v>43</v>
      </c>
      <c r="C12" s="55" t="s">
        <v>296</v>
      </c>
      <c r="D12" s="56" t="s">
        <v>297</v>
      </c>
      <c r="E12" s="55" t="s">
        <v>298</v>
      </c>
      <c r="F12" s="38" t="s">
        <v>61</v>
      </c>
      <c r="G12" s="38"/>
    </row>
    <row r="13" customFormat="false" ht="42" hidden="false" customHeight="true" outlineLevel="0" collapsed="false">
      <c r="A13" s="51" t="n">
        <v>5</v>
      </c>
      <c r="B13" s="35" t="s">
        <v>43</v>
      </c>
      <c r="C13" s="52" t="s">
        <v>299</v>
      </c>
      <c r="D13" s="53" t="s">
        <v>300</v>
      </c>
      <c r="E13" s="52"/>
      <c r="F13" s="35" t="s">
        <v>71</v>
      </c>
      <c r="G13" s="35"/>
    </row>
    <row r="14" customFormat="false" ht="42" hidden="false" customHeight="true" outlineLevel="0" collapsed="false">
      <c r="A14" s="54" t="n">
        <v>6</v>
      </c>
      <c r="B14" s="38" t="s">
        <v>43</v>
      </c>
      <c r="C14" s="55" t="s">
        <v>301</v>
      </c>
      <c r="D14" s="56" t="s">
        <v>302</v>
      </c>
      <c r="E14" s="55" t="s">
        <v>303</v>
      </c>
      <c r="F14" s="38" t="s">
        <v>61</v>
      </c>
      <c r="G14" s="38"/>
    </row>
    <row r="15" customFormat="false" ht="42" hidden="false" customHeight="true" outlineLevel="0" collapsed="false">
      <c r="A15" s="51" t="n">
        <v>7</v>
      </c>
      <c r="B15" s="35" t="s">
        <v>43</v>
      </c>
      <c r="C15" s="52" t="s">
        <v>304</v>
      </c>
      <c r="D15" s="53" t="s">
        <v>305</v>
      </c>
      <c r="E15" s="52" t="s">
        <v>298</v>
      </c>
      <c r="F15" s="35" t="s">
        <v>61</v>
      </c>
      <c r="G15" s="35"/>
    </row>
    <row r="16" customFormat="false" ht="21.75" hidden="false" customHeight="true" outlineLevel="0" collapsed="false">
      <c r="A16" s="50" t="s">
        <v>306</v>
      </c>
      <c r="B16" s="50"/>
      <c r="C16" s="50"/>
      <c r="D16" s="50"/>
      <c r="E16" s="50"/>
      <c r="F16" s="50"/>
      <c r="G16" s="50"/>
    </row>
    <row r="17" customFormat="false" ht="42" hidden="false" customHeight="true" outlineLevel="0" collapsed="false">
      <c r="A17" s="54" t="n">
        <v>8</v>
      </c>
      <c r="B17" s="38" t="s">
        <v>43</v>
      </c>
      <c r="C17" s="55" t="s">
        <v>307</v>
      </c>
      <c r="D17" s="56" t="s">
        <v>308</v>
      </c>
      <c r="E17" s="55" t="s">
        <v>309</v>
      </c>
      <c r="F17" s="38" t="s">
        <v>61</v>
      </c>
      <c r="G17" s="38"/>
    </row>
    <row r="18" customFormat="false" ht="42" hidden="false" customHeight="true" outlineLevel="0" collapsed="false">
      <c r="A18" s="51" t="n">
        <v>9</v>
      </c>
      <c r="B18" s="35" t="s">
        <v>43</v>
      </c>
      <c r="C18" s="52" t="s">
        <v>310</v>
      </c>
      <c r="D18" s="53" t="s">
        <v>311</v>
      </c>
      <c r="E18" s="52"/>
      <c r="F18" s="35" t="s">
        <v>71</v>
      </c>
      <c r="G18" s="35"/>
    </row>
    <row r="19" customFormat="false" ht="42" hidden="false" customHeight="true" outlineLevel="0" collapsed="false">
      <c r="A19" s="54" t="n">
        <v>10</v>
      </c>
      <c r="B19" s="38" t="s">
        <v>43</v>
      </c>
      <c r="C19" s="55" t="s">
        <v>312</v>
      </c>
      <c r="D19" s="56" t="s">
        <v>313</v>
      </c>
      <c r="E19" s="55" t="s">
        <v>314</v>
      </c>
      <c r="F19" s="38" t="s">
        <v>61</v>
      </c>
      <c r="G19" s="38"/>
    </row>
    <row r="20" customFormat="false" ht="42" hidden="false" customHeight="true" outlineLevel="0" collapsed="false">
      <c r="A20" s="51" t="n">
        <v>11</v>
      </c>
      <c r="B20" s="35" t="s">
        <v>43</v>
      </c>
      <c r="C20" s="52" t="s">
        <v>315</v>
      </c>
      <c r="D20" s="53" t="s">
        <v>316</v>
      </c>
      <c r="E20" s="52"/>
      <c r="F20" s="35" t="s">
        <v>71</v>
      </c>
      <c r="G20" s="35"/>
    </row>
    <row r="21" customFormat="false" ht="42" hidden="false" customHeight="true" outlineLevel="0" collapsed="false">
      <c r="A21" s="54" t="n">
        <v>12</v>
      </c>
      <c r="B21" s="38" t="s">
        <v>43</v>
      </c>
      <c r="C21" s="55" t="s">
        <v>317</v>
      </c>
      <c r="D21" s="56" t="s">
        <v>318</v>
      </c>
      <c r="E21" s="55"/>
      <c r="F21" s="38" t="s">
        <v>61</v>
      </c>
      <c r="G21" s="38"/>
    </row>
    <row r="22" customFormat="false" ht="42" hidden="false" customHeight="true" outlineLevel="0" collapsed="false">
      <c r="A22" s="51" t="n">
        <v>13</v>
      </c>
      <c r="B22" s="35" t="s">
        <v>43</v>
      </c>
      <c r="C22" s="52" t="s">
        <v>319</v>
      </c>
      <c r="D22" s="53" t="s">
        <v>320</v>
      </c>
      <c r="E22" s="52" t="s">
        <v>298</v>
      </c>
      <c r="F22" s="35" t="s">
        <v>61</v>
      </c>
      <c r="G22" s="35"/>
    </row>
    <row r="23" customFormat="false" ht="42" hidden="false" customHeight="true" outlineLevel="0" collapsed="false">
      <c r="A23" s="54" t="n">
        <v>14</v>
      </c>
      <c r="B23" s="38" t="s">
        <v>43</v>
      </c>
      <c r="C23" s="55" t="s">
        <v>321</v>
      </c>
      <c r="D23" s="56" t="s">
        <v>322</v>
      </c>
      <c r="E23" s="55" t="s">
        <v>283</v>
      </c>
      <c r="F23" s="38" t="s">
        <v>71</v>
      </c>
      <c r="G23" s="38"/>
    </row>
    <row r="24" customFormat="false" ht="42" hidden="false" customHeight="true" outlineLevel="0" collapsed="false">
      <c r="A24" s="51" t="n">
        <v>15</v>
      </c>
      <c r="B24" s="35" t="s">
        <v>43</v>
      </c>
      <c r="C24" s="52" t="s">
        <v>323</v>
      </c>
      <c r="D24" s="53" t="s">
        <v>324</v>
      </c>
      <c r="E24" s="52"/>
      <c r="F24" s="35" t="s">
        <v>71</v>
      </c>
      <c r="G24" s="35"/>
    </row>
    <row r="25" customFormat="false" ht="42" hidden="false" customHeight="true" outlineLevel="0" collapsed="false">
      <c r="A25" s="54" t="n">
        <v>16</v>
      </c>
      <c r="B25" s="38" t="s">
        <v>43</v>
      </c>
      <c r="C25" s="55" t="s">
        <v>325</v>
      </c>
      <c r="D25" s="56" t="s">
        <v>326</v>
      </c>
      <c r="E25" s="55"/>
      <c r="F25" s="38" t="s">
        <v>71</v>
      </c>
      <c r="G25" s="38"/>
    </row>
  </sheetData>
  <mergeCells count="6">
    <mergeCell ref="A2:G2"/>
    <mergeCell ref="A3:G3"/>
    <mergeCell ref="A4:G4"/>
    <mergeCell ref="A7:G7"/>
    <mergeCell ref="A8:G8"/>
    <mergeCell ref="A16:G16"/>
  </mergeCells>
  <conditionalFormatting sqref="B9:G25">
    <cfRule type="expression" priority="2" aboveAverage="0" equalAverage="0" bottom="0" percent="0" rank="0" text="" dxfId="0">
      <formula>$B9="Cumplido"</formula>
    </cfRule>
    <cfRule type="expression" priority="3" aboveAverage="0" equalAverage="0" bottom="0" percent="0" rank="0" text="" dxfId="1">
      <formula>$B9="En riesgo"</formula>
    </cfRule>
    <cfRule type="expression" priority="4" aboveAverage="0" equalAverage="0" bottom="0" percent="0" rank="0" text="" dxfId="2">
      <formula>$B9="N/A"</formula>
    </cfRule>
    <cfRule type="expression" priority="5" aboveAverage="0" equalAverage="0" bottom="0" percent="0" rank="0" text="" dxfId="3">
      <formula>$B9="Pendiente"</formula>
    </cfRule>
  </conditionalFormatting>
  <dataValidations count="4">
    <dataValidation allowBlank="true" error="Ingresa una fecha válida" errorStyle="stop" errorTitle="Fecha inválida" operator="between" showDropDown="false" showErrorMessage="true" showInputMessage="false" sqref="G9:G25" type="date">
      <formula1>0</formula1>
      <formula2>0</formula2>
    </dataValidation>
    <dataValidation allowBlank="true" error="Valor no válido" errorStyle="stop" errorTitle="Selecciona una opción" operator="between" showDropDown="false" showErrorMessage="true" showInputMessage="false" sqref="B9:B25" type="list">
      <formula1>"Pendiente,Cumplido,En riesgo,N/A"</formula1>
      <formula2>0</formula2>
    </dataValidation>
    <dataValidation allowBlank="true" errorStyle="stop" operator="between" showDropDown="false" showErrorMessage="false" showInputMessage="false" sqref="F9:F25" type="list">
      <formula1>"Cliente,Asesor,AGACE,Otro"</formula1>
      <formula2>0</formula2>
    </dataValidation>
    <dataValidation allowBlank="true" errorStyle="stop" operator="between" showDropDown="false" showErrorMessage="false" showInputMessage="false" sqref="E9:E25" type="list">
      <formula1>"Sin documento,Adjunto,No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"/>
    <col collapsed="false" customWidth="true" hidden="false" outlineLevel="0" max="3" min="3" style="1" width="55"/>
    <col collapsed="false" customWidth="true" hidden="false" outlineLevel="0" max="4" min="4" style="1" width="22"/>
    <col collapsed="false" customWidth="true" hidden="false" outlineLevel="0" max="5" min="5" style="1" width="28"/>
    <col collapsed="false" customWidth="true" hidden="false" outlineLevel="0" max="6" min="6" style="1" width="18"/>
    <col collapsed="false" customWidth="true" hidden="false" outlineLevel="0" max="7" min="7" style="1" width="16"/>
  </cols>
  <sheetData>
    <row r="1" customFormat="false" ht="7.5" hidden="false" customHeight="true" outlineLevel="0" collapsed="false"/>
    <row r="2" customFormat="false" ht="36" hidden="false" customHeight="true" outlineLevel="0" collapsed="false">
      <c r="A2" s="47" t="s">
        <v>327</v>
      </c>
      <c r="B2" s="47"/>
      <c r="C2" s="47"/>
      <c r="D2" s="47"/>
      <c r="E2" s="47"/>
      <c r="F2" s="47"/>
      <c r="G2" s="47"/>
    </row>
    <row r="3" customFormat="false" ht="19.5" hidden="false" customHeight="true" outlineLevel="0" collapsed="false">
      <c r="A3" s="6" t="s">
        <v>328</v>
      </c>
      <c r="B3" s="6"/>
      <c r="C3" s="6"/>
      <c r="D3" s="6"/>
      <c r="E3" s="6"/>
      <c r="F3" s="6"/>
      <c r="G3" s="6"/>
    </row>
    <row r="4" customFormat="false" ht="19.5" hidden="false" customHeight="true" outlineLevel="0" collapsed="false">
      <c r="A4" s="48" t="s">
        <v>49</v>
      </c>
      <c r="B4" s="48"/>
      <c r="C4" s="48"/>
      <c r="D4" s="48"/>
      <c r="E4" s="48"/>
      <c r="F4" s="48"/>
      <c r="G4" s="48"/>
    </row>
    <row r="5" customFormat="false" ht="7.5" hidden="false" customHeight="true" outlineLevel="0" collapsed="false"/>
    <row r="6" customFormat="false" ht="25.5" hidden="false" customHeight="true" outlineLevel="0" collapsed="false">
      <c r="A6" s="49" t="s">
        <v>50</v>
      </c>
      <c r="B6" s="49" t="s">
        <v>51</v>
      </c>
      <c r="C6" s="49" t="s">
        <v>52</v>
      </c>
      <c r="D6" s="49" t="s">
        <v>53</v>
      </c>
      <c r="E6" s="49" t="s">
        <v>54</v>
      </c>
      <c r="F6" s="49" t="s">
        <v>55</v>
      </c>
      <c r="G6" s="49" t="s">
        <v>56</v>
      </c>
    </row>
    <row r="7" customFormat="false" ht="21.75" hidden="false" customHeight="true" outlineLevel="0" collapsed="false">
      <c r="A7" s="50" t="s">
        <v>329</v>
      </c>
      <c r="B7" s="50"/>
      <c r="C7" s="50"/>
      <c r="D7" s="50"/>
      <c r="E7" s="50"/>
      <c r="F7" s="50"/>
      <c r="G7" s="50"/>
    </row>
    <row r="8" customFormat="false" ht="27.75" hidden="false" customHeight="true" outlineLevel="0" collapsed="false">
      <c r="A8" s="60" t="s">
        <v>330</v>
      </c>
      <c r="B8" s="60"/>
      <c r="C8" s="60"/>
      <c r="D8" s="60"/>
      <c r="E8" s="60"/>
      <c r="F8" s="60"/>
      <c r="G8" s="60"/>
    </row>
    <row r="9" customFormat="false" ht="42" hidden="false" customHeight="true" outlineLevel="0" collapsed="false">
      <c r="A9" s="51" t="n">
        <v>1</v>
      </c>
      <c r="B9" s="35" t="s">
        <v>43</v>
      </c>
      <c r="C9" s="52" t="s">
        <v>331</v>
      </c>
      <c r="D9" s="53" t="s">
        <v>332</v>
      </c>
      <c r="E9" s="52"/>
      <c r="F9" s="35" t="s">
        <v>71</v>
      </c>
      <c r="G9" s="35"/>
    </row>
    <row r="10" customFormat="false" ht="42" hidden="false" customHeight="true" outlineLevel="0" collapsed="false">
      <c r="A10" s="54" t="n">
        <v>2</v>
      </c>
      <c r="B10" s="38" t="s">
        <v>43</v>
      </c>
      <c r="C10" s="55" t="s">
        <v>333</v>
      </c>
      <c r="D10" s="56" t="s">
        <v>334</v>
      </c>
      <c r="E10" s="55"/>
      <c r="F10" s="38" t="s">
        <v>71</v>
      </c>
      <c r="G10" s="38"/>
    </row>
    <row r="11" customFormat="false" ht="42" hidden="false" customHeight="true" outlineLevel="0" collapsed="false">
      <c r="A11" s="51" t="n">
        <v>3</v>
      </c>
      <c r="B11" s="35" t="s">
        <v>43</v>
      </c>
      <c r="C11" s="52" t="s">
        <v>335</v>
      </c>
      <c r="D11" s="53" t="s">
        <v>336</v>
      </c>
      <c r="E11" s="52"/>
      <c r="F11" s="35" t="s">
        <v>61</v>
      </c>
      <c r="G11" s="35"/>
    </row>
    <row r="12" customFormat="false" ht="42" hidden="false" customHeight="true" outlineLevel="0" collapsed="false">
      <c r="A12" s="54" t="n">
        <v>4</v>
      </c>
      <c r="B12" s="38" t="s">
        <v>43</v>
      </c>
      <c r="C12" s="55" t="s">
        <v>337</v>
      </c>
      <c r="D12" s="56" t="s">
        <v>338</v>
      </c>
      <c r="E12" s="55"/>
      <c r="F12" s="38" t="s">
        <v>71</v>
      </c>
      <c r="G12" s="38"/>
    </row>
    <row r="13" customFormat="false" ht="42" hidden="false" customHeight="true" outlineLevel="0" collapsed="false">
      <c r="A13" s="51" t="n">
        <v>5</v>
      </c>
      <c r="B13" s="35" t="s">
        <v>43</v>
      </c>
      <c r="C13" s="52" t="s">
        <v>339</v>
      </c>
      <c r="D13" s="53" t="s">
        <v>340</v>
      </c>
      <c r="E13" s="52"/>
      <c r="F13" s="35" t="s">
        <v>61</v>
      </c>
      <c r="G13" s="35"/>
    </row>
    <row r="14" customFormat="false" ht="42" hidden="false" customHeight="true" outlineLevel="0" collapsed="false">
      <c r="A14" s="54" t="n">
        <v>6</v>
      </c>
      <c r="B14" s="38" t="s">
        <v>43</v>
      </c>
      <c r="C14" s="55" t="s">
        <v>341</v>
      </c>
      <c r="D14" s="56" t="s">
        <v>342</v>
      </c>
      <c r="E14" s="55"/>
      <c r="F14" s="38" t="s">
        <v>61</v>
      </c>
      <c r="G14" s="38"/>
    </row>
    <row r="15" customFormat="false" ht="42" hidden="false" customHeight="true" outlineLevel="0" collapsed="false">
      <c r="A15" s="51" t="n">
        <v>7</v>
      </c>
      <c r="B15" s="35" t="s">
        <v>43</v>
      </c>
      <c r="C15" s="52" t="s">
        <v>343</v>
      </c>
      <c r="D15" s="53" t="s">
        <v>344</v>
      </c>
      <c r="E15" s="52" t="s">
        <v>345</v>
      </c>
      <c r="F15" s="35" t="s">
        <v>61</v>
      </c>
      <c r="G15" s="35"/>
    </row>
    <row r="16" customFormat="false" ht="42" hidden="false" customHeight="true" outlineLevel="0" collapsed="false">
      <c r="A16" s="54" t="n">
        <v>8</v>
      </c>
      <c r="B16" s="38" t="s">
        <v>43</v>
      </c>
      <c r="C16" s="55" t="s">
        <v>346</v>
      </c>
      <c r="D16" s="56" t="s">
        <v>347</v>
      </c>
      <c r="E16" s="55"/>
      <c r="F16" s="38" t="s">
        <v>71</v>
      </c>
      <c r="G16" s="38"/>
    </row>
    <row r="17" customFormat="false" ht="42" hidden="false" customHeight="true" outlineLevel="0" collapsed="false">
      <c r="A17" s="51" t="n">
        <v>9</v>
      </c>
      <c r="B17" s="35" t="s">
        <v>43</v>
      </c>
      <c r="C17" s="52" t="s">
        <v>348</v>
      </c>
      <c r="D17" s="53" t="s">
        <v>349</v>
      </c>
      <c r="E17" s="52" t="s">
        <v>350</v>
      </c>
      <c r="F17" s="35" t="s">
        <v>61</v>
      </c>
      <c r="G17" s="35"/>
    </row>
    <row r="18" customFormat="false" ht="42" hidden="false" customHeight="true" outlineLevel="0" collapsed="false">
      <c r="A18" s="54" t="n">
        <v>10</v>
      </c>
      <c r="B18" s="38" t="s">
        <v>43</v>
      </c>
      <c r="C18" s="55" t="s">
        <v>351</v>
      </c>
      <c r="D18" s="56" t="s">
        <v>352</v>
      </c>
      <c r="E18" s="55" t="s">
        <v>353</v>
      </c>
      <c r="F18" s="38" t="s">
        <v>71</v>
      </c>
      <c r="G18" s="38"/>
    </row>
    <row r="19" customFormat="false" ht="21.75" hidden="false" customHeight="true" outlineLevel="0" collapsed="false">
      <c r="A19" s="50" t="s">
        <v>354</v>
      </c>
      <c r="B19" s="50"/>
      <c r="C19" s="50"/>
      <c r="D19" s="50"/>
      <c r="E19" s="50"/>
      <c r="F19" s="50"/>
      <c r="G19" s="50"/>
    </row>
    <row r="20" customFormat="false" ht="42" hidden="false" customHeight="true" outlineLevel="0" collapsed="false">
      <c r="A20" s="51" t="n">
        <v>11</v>
      </c>
      <c r="B20" s="35" t="s">
        <v>43</v>
      </c>
      <c r="C20" s="52" t="s">
        <v>355</v>
      </c>
      <c r="D20" s="53" t="s">
        <v>356</v>
      </c>
      <c r="E20" s="52"/>
      <c r="F20" s="35" t="s">
        <v>61</v>
      </c>
      <c r="G20" s="35"/>
    </row>
    <row r="21" customFormat="false" ht="42" hidden="false" customHeight="true" outlineLevel="0" collapsed="false">
      <c r="A21" s="54" t="n">
        <v>12</v>
      </c>
      <c r="B21" s="38" t="s">
        <v>43</v>
      </c>
      <c r="C21" s="55" t="s">
        <v>357</v>
      </c>
      <c r="D21" s="56" t="s">
        <v>358</v>
      </c>
      <c r="E21" s="55"/>
      <c r="F21" s="38" t="s">
        <v>71</v>
      </c>
      <c r="G21" s="38"/>
    </row>
    <row r="22" customFormat="false" ht="42" hidden="false" customHeight="true" outlineLevel="0" collapsed="false">
      <c r="A22" s="51" t="n">
        <v>13</v>
      </c>
      <c r="B22" s="35" t="s">
        <v>43</v>
      </c>
      <c r="C22" s="52" t="s">
        <v>359</v>
      </c>
      <c r="D22" s="53" t="s">
        <v>360</v>
      </c>
      <c r="E22" s="52"/>
      <c r="F22" s="35" t="s">
        <v>61</v>
      </c>
      <c r="G22" s="35"/>
    </row>
    <row r="23" customFormat="false" ht="42" hidden="false" customHeight="true" outlineLevel="0" collapsed="false">
      <c r="A23" s="54" t="n">
        <v>14</v>
      </c>
      <c r="B23" s="38" t="s">
        <v>43</v>
      </c>
      <c r="C23" s="55" t="s">
        <v>361</v>
      </c>
      <c r="D23" s="56" t="s">
        <v>362</v>
      </c>
      <c r="E23" s="55"/>
      <c r="F23" s="38" t="s">
        <v>61</v>
      </c>
      <c r="G23" s="38"/>
    </row>
    <row r="24" customFormat="false" ht="42" hidden="false" customHeight="true" outlineLevel="0" collapsed="false">
      <c r="A24" s="51" t="n">
        <v>15</v>
      </c>
      <c r="B24" s="35" t="s">
        <v>43</v>
      </c>
      <c r="C24" s="52" t="s">
        <v>363</v>
      </c>
      <c r="D24" s="53" t="s">
        <v>364</v>
      </c>
      <c r="E24" s="52"/>
      <c r="F24" s="35" t="s">
        <v>61</v>
      </c>
      <c r="G24" s="35"/>
    </row>
    <row r="25" customFormat="false" ht="42" hidden="false" customHeight="true" outlineLevel="0" collapsed="false">
      <c r="A25" s="54" t="n">
        <v>16</v>
      </c>
      <c r="B25" s="38" t="s">
        <v>43</v>
      </c>
      <c r="C25" s="55" t="s">
        <v>365</v>
      </c>
      <c r="D25" s="56" t="s">
        <v>366</v>
      </c>
      <c r="E25" s="55"/>
      <c r="F25" s="38" t="s">
        <v>71</v>
      </c>
      <c r="G25" s="38"/>
    </row>
    <row r="26" customFormat="false" ht="42" hidden="false" customHeight="true" outlineLevel="0" collapsed="false">
      <c r="A26" s="51" t="n">
        <v>17</v>
      </c>
      <c r="B26" s="35" t="s">
        <v>43</v>
      </c>
      <c r="C26" s="52" t="s">
        <v>367</v>
      </c>
      <c r="D26" s="53" t="s">
        <v>368</v>
      </c>
      <c r="E26" s="52"/>
      <c r="F26" s="35" t="s">
        <v>71</v>
      </c>
      <c r="G26" s="35"/>
    </row>
    <row r="27" customFormat="false" ht="21.75" hidden="false" customHeight="true" outlineLevel="0" collapsed="false">
      <c r="A27" s="50" t="s">
        <v>369</v>
      </c>
      <c r="B27" s="50"/>
      <c r="C27" s="50"/>
      <c r="D27" s="50"/>
      <c r="E27" s="50"/>
      <c r="F27" s="50"/>
      <c r="G27" s="50"/>
    </row>
    <row r="28" customFormat="false" ht="42" hidden="false" customHeight="true" outlineLevel="0" collapsed="false">
      <c r="A28" s="54" t="n">
        <v>18</v>
      </c>
      <c r="B28" s="38" t="s">
        <v>43</v>
      </c>
      <c r="C28" s="55" t="s">
        <v>370</v>
      </c>
      <c r="D28" s="56" t="s">
        <v>371</v>
      </c>
      <c r="E28" s="55"/>
      <c r="F28" s="38" t="s">
        <v>61</v>
      </c>
      <c r="G28" s="38"/>
    </row>
    <row r="29" customFormat="false" ht="42" hidden="false" customHeight="true" outlineLevel="0" collapsed="false">
      <c r="A29" s="51" t="n">
        <v>19</v>
      </c>
      <c r="B29" s="35" t="s">
        <v>43</v>
      </c>
      <c r="C29" s="52" t="s">
        <v>372</v>
      </c>
      <c r="D29" s="53" t="s">
        <v>373</v>
      </c>
      <c r="E29" s="52"/>
      <c r="F29" s="35" t="s">
        <v>61</v>
      </c>
      <c r="G29" s="35"/>
    </row>
    <row r="30" customFormat="false" ht="42" hidden="false" customHeight="true" outlineLevel="0" collapsed="false">
      <c r="A30" s="54" t="n">
        <v>20</v>
      </c>
      <c r="B30" s="38" t="s">
        <v>43</v>
      </c>
      <c r="C30" s="55" t="s">
        <v>374</v>
      </c>
      <c r="D30" s="56" t="s">
        <v>375</v>
      </c>
      <c r="E30" s="55"/>
      <c r="F30" s="38" t="s">
        <v>61</v>
      </c>
      <c r="G30" s="38"/>
    </row>
  </sheetData>
  <mergeCells count="7">
    <mergeCell ref="A2:G2"/>
    <mergeCell ref="A3:G3"/>
    <mergeCell ref="A4:G4"/>
    <mergeCell ref="A7:G7"/>
    <mergeCell ref="A8:G8"/>
    <mergeCell ref="A19:G19"/>
    <mergeCell ref="A27:G27"/>
  </mergeCells>
  <conditionalFormatting sqref="B9:G30">
    <cfRule type="expression" priority="2" aboveAverage="0" equalAverage="0" bottom="0" percent="0" rank="0" text="" dxfId="0">
      <formula>$B9="Cumplido"</formula>
    </cfRule>
    <cfRule type="expression" priority="3" aboveAverage="0" equalAverage="0" bottom="0" percent="0" rank="0" text="" dxfId="1">
      <formula>$B9="En riesgo"</formula>
    </cfRule>
    <cfRule type="expression" priority="4" aboveAverage="0" equalAverage="0" bottom="0" percent="0" rank="0" text="" dxfId="2">
      <formula>$B9="N/A"</formula>
    </cfRule>
    <cfRule type="expression" priority="5" aboveAverage="0" equalAverage="0" bottom="0" percent="0" rank="0" text="" dxfId="3">
      <formula>$B9="Pendiente"</formula>
    </cfRule>
  </conditionalFormatting>
  <dataValidations count="4">
    <dataValidation allowBlank="true" error="Ingresa una fecha válida" errorStyle="stop" errorTitle="Fecha inválida" operator="between" showDropDown="false" showErrorMessage="true" showInputMessage="false" sqref="G9:G30" type="date">
      <formula1>0</formula1>
      <formula2>0</formula2>
    </dataValidation>
    <dataValidation allowBlank="true" error="Valor no válido" errorStyle="stop" errorTitle="Selecciona una opción" operator="between" showDropDown="false" showErrorMessage="true" showInputMessage="false" sqref="B9:B30" type="list">
      <formula1>"Pendiente,Cumplido,En riesgo,N/A"</formula1>
      <formula2>0</formula2>
    </dataValidation>
    <dataValidation allowBlank="true" errorStyle="stop" operator="between" showDropDown="false" showErrorMessage="false" showInputMessage="false" sqref="F9:F30" type="list">
      <formula1>"Cliente,Asesor,AGACE,Otro"</formula1>
      <formula2>0</formula2>
    </dataValidation>
    <dataValidation allowBlank="true" errorStyle="stop" operator="between" showDropDown="false" showErrorMessage="false" showInputMessage="false" sqref="E9:E30" type="list">
      <formula1>"Sin documento,Adjunto,No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2026-05-27T16:57:59Z</dcterms:created>
  <dc:creator>openpyxl</dc:creator>
  <dc:description/>
  <dc:language>en-US</dc:language>
  <cp:lastModifiedBy/>
  <dcterms:modified xsi:type="dcterms:W3CDTF">2026-05-28T05:25:29Z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